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c3e6e766875b6880/Desktop/VDO 2026/1. CDG/1. Development and Compliance/2. System Development/Program/"/>
    </mc:Choice>
  </mc:AlternateContent>
  <xr:revisionPtr revIDLastSave="55" documentId="8_{04846381-3C12-4EBD-9888-62952F170D54}" xr6:coauthVersionLast="47" xr6:coauthVersionMax="47" xr10:uidLastSave="{5A75A014-D969-4113-AD5B-2A765D20B36A}"/>
  <bookViews>
    <workbookView xWindow="-108" yWindow="-108" windowWidth="23256" windowHeight="12456" activeTab="1" xr2:uid="{00000000-000D-0000-FFFF-FFFF00000000}"/>
  </bookViews>
  <sheets>
    <sheet name="Verified Database" sheetId="1" r:id="rId1"/>
    <sheet name="Unverified Database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W503" i="3" l="1"/>
  <c r="V503" i="3"/>
  <c r="U503" i="3"/>
  <c r="T503" i="3"/>
  <c r="P503" i="3"/>
  <c r="O503" i="3"/>
  <c r="N503" i="3"/>
  <c r="S502" i="3"/>
  <c r="S501" i="3"/>
  <c r="S500" i="3"/>
  <c r="S499" i="3"/>
  <c r="S498" i="3"/>
  <c r="S497" i="3"/>
  <c r="S496" i="3"/>
  <c r="S495" i="3"/>
  <c r="S494" i="3"/>
  <c r="S493" i="3"/>
  <c r="S492" i="3"/>
  <c r="S491" i="3"/>
  <c r="S490" i="3"/>
  <c r="S489" i="3"/>
  <c r="S488" i="3"/>
  <c r="S487" i="3"/>
  <c r="S486" i="3"/>
  <c r="S485" i="3"/>
  <c r="S484" i="3"/>
  <c r="S483" i="3"/>
  <c r="S482" i="3"/>
  <c r="S481" i="3"/>
  <c r="S480" i="3"/>
  <c r="S479" i="3"/>
  <c r="S478" i="3"/>
  <c r="S477" i="3"/>
  <c r="S476" i="3"/>
  <c r="S475" i="3"/>
  <c r="S474" i="3"/>
  <c r="S473" i="3"/>
  <c r="S472" i="3"/>
  <c r="S471" i="3"/>
  <c r="S470" i="3"/>
  <c r="S469" i="3"/>
  <c r="S468" i="3"/>
  <c r="S467" i="3"/>
  <c r="S466" i="3"/>
  <c r="S465" i="3"/>
  <c r="S464" i="3"/>
  <c r="S463" i="3"/>
  <c r="S462" i="3"/>
  <c r="S461" i="3"/>
  <c r="S460" i="3"/>
  <c r="S459" i="3"/>
  <c r="S458" i="3"/>
  <c r="S457" i="3"/>
  <c r="S456" i="3"/>
  <c r="S455" i="3"/>
  <c r="S454" i="3"/>
  <c r="S453" i="3"/>
  <c r="S452" i="3"/>
  <c r="S451" i="3"/>
  <c r="S450" i="3"/>
  <c r="S449" i="3"/>
  <c r="S448" i="3"/>
  <c r="S447" i="3"/>
  <c r="S446" i="3"/>
  <c r="S445" i="3"/>
  <c r="S444" i="3"/>
  <c r="S443" i="3"/>
  <c r="S442" i="3"/>
  <c r="S441" i="3"/>
  <c r="S440" i="3"/>
  <c r="S439" i="3"/>
  <c r="S438" i="3"/>
  <c r="S437" i="3"/>
  <c r="S436" i="3"/>
  <c r="S435" i="3"/>
  <c r="S434" i="3"/>
  <c r="S433" i="3"/>
  <c r="S432" i="3"/>
  <c r="S431" i="3"/>
  <c r="S430" i="3"/>
  <c r="S429" i="3"/>
  <c r="S428" i="3"/>
  <c r="S427" i="3"/>
  <c r="S426" i="3"/>
  <c r="S425" i="3"/>
  <c r="S424" i="3"/>
  <c r="S423" i="3"/>
  <c r="S422" i="3"/>
  <c r="S421" i="3"/>
  <c r="S420" i="3"/>
  <c r="S419" i="3"/>
  <c r="S418" i="3"/>
  <c r="S417" i="3"/>
  <c r="S416" i="3"/>
  <c r="S415" i="3"/>
  <c r="S414" i="3"/>
  <c r="S413" i="3"/>
  <c r="S412" i="3"/>
  <c r="S411" i="3"/>
  <c r="S410" i="3"/>
  <c r="S409" i="3"/>
  <c r="S408" i="3"/>
  <c r="S407" i="3"/>
  <c r="S406" i="3"/>
  <c r="S405" i="3"/>
  <c r="S404" i="3"/>
  <c r="S403" i="3"/>
  <c r="S402" i="3"/>
  <c r="S401" i="3"/>
  <c r="S400" i="3"/>
  <c r="S399" i="3"/>
  <c r="S398" i="3"/>
  <c r="S397" i="3"/>
  <c r="S396" i="3"/>
  <c r="S395" i="3"/>
  <c r="S394" i="3"/>
  <c r="S393" i="3"/>
  <c r="S392" i="3"/>
  <c r="S391" i="3"/>
  <c r="S390" i="3"/>
  <c r="S389" i="3"/>
  <c r="S388" i="3"/>
  <c r="S387" i="3"/>
  <c r="S386" i="3"/>
  <c r="S385" i="3"/>
  <c r="S384" i="3"/>
  <c r="S383" i="3"/>
  <c r="S382" i="3"/>
  <c r="S381" i="3"/>
  <c r="S380" i="3"/>
  <c r="S379" i="3"/>
  <c r="S378" i="3"/>
  <c r="S377" i="3"/>
  <c r="S376" i="3"/>
  <c r="S375" i="3"/>
  <c r="S374" i="3"/>
  <c r="S373" i="3"/>
  <c r="S372" i="3"/>
  <c r="S371" i="3"/>
  <c r="S370" i="3"/>
  <c r="S369" i="3"/>
  <c r="S368" i="3"/>
  <c r="S367" i="3"/>
  <c r="S366" i="3"/>
  <c r="S365" i="3"/>
  <c r="S364" i="3"/>
  <c r="S363" i="3"/>
  <c r="S362" i="3"/>
  <c r="S361" i="3"/>
  <c r="S360" i="3"/>
  <c r="S359" i="3"/>
  <c r="S358" i="3"/>
  <c r="S357" i="3"/>
  <c r="S356" i="3"/>
  <c r="S355" i="3"/>
  <c r="S354" i="3"/>
  <c r="S353" i="3"/>
  <c r="S352" i="3"/>
  <c r="S351" i="3"/>
  <c r="S350" i="3"/>
  <c r="S349" i="3"/>
  <c r="S348" i="3"/>
  <c r="S347" i="3"/>
  <c r="S346" i="3"/>
  <c r="S345" i="3"/>
  <c r="S344" i="3"/>
  <c r="S343" i="3"/>
  <c r="S342" i="3"/>
  <c r="S341" i="3"/>
  <c r="S340" i="3"/>
  <c r="S339" i="3"/>
  <c r="S338" i="3"/>
  <c r="S337" i="3"/>
  <c r="S336" i="3"/>
  <c r="S335" i="3"/>
  <c r="S334" i="3"/>
  <c r="S333" i="3"/>
  <c r="S332" i="3"/>
  <c r="S331" i="3"/>
  <c r="S330" i="3"/>
  <c r="S329" i="3"/>
  <c r="S328" i="3"/>
  <c r="S327" i="3"/>
  <c r="S326" i="3"/>
  <c r="S325" i="3"/>
  <c r="S324" i="3"/>
  <c r="S323" i="3"/>
  <c r="S322" i="3"/>
  <c r="S321" i="3"/>
  <c r="S320" i="3"/>
  <c r="S319" i="3"/>
  <c r="S318" i="3"/>
  <c r="S317" i="3"/>
  <c r="S316" i="3"/>
  <c r="S315" i="3"/>
  <c r="S314" i="3"/>
  <c r="S313" i="3"/>
  <c r="S312" i="3"/>
  <c r="S311" i="3"/>
  <c r="S310" i="3"/>
  <c r="S309" i="3"/>
  <c r="S308" i="3"/>
  <c r="S307" i="3"/>
  <c r="S306" i="3"/>
  <c r="S305" i="3"/>
  <c r="S304" i="3"/>
  <c r="S303" i="3"/>
  <c r="S302" i="3"/>
  <c r="S301" i="3"/>
  <c r="S300" i="3"/>
  <c r="S299" i="3"/>
  <c r="S298" i="3"/>
  <c r="S297" i="3"/>
  <c r="S296" i="3"/>
  <c r="S295" i="3"/>
  <c r="S294" i="3"/>
  <c r="S293" i="3"/>
  <c r="S292" i="3"/>
  <c r="S291" i="3"/>
  <c r="S290" i="3"/>
  <c r="S289" i="3"/>
  <c r="S288" i="3"/>
  <c r="S287" i="3"/>
  <c r="S286" i="3"/>
  <c r="S285" i="3"/>
  <c r="S284" i="3"/>
  <c r="S283" i="3"/>
  <c r="S282" i="3"/>
  <c r="S281" i="3"/>
  <c r="S280" i="3"/>
  <c r="S279" i="3"/>
  <c r="S278" i="3"/>
  <c r="S277" i="3"/>
  <c r="S276" i="3"/>
  <c r="S275" i="3"/>
  <c r="S274" i="3"/>
  <c r="S273" i="3"/>
  <c r="S272" i="3"/>
  <c r="S271" i="3"/>
  <c r="S270" i="3"/>
  <c r="S269" i="3"/>
  <c r="S268" i="3"/>
  <c r="S267" i="3"/>
  <c r="S266" i="3"/>
  <c r="S265" i="3"/>
  <c r="S264" i="3"/>
  <c r="S263" i="3"/>
  <c r="S262" i="3"/>
  <c r="S261" i="3"/>
  <c r="S260" i="3"/>
  <c r="S259" i="3"/>
  <c r="S258" i="3"/>
  <c r="S257" i="3"/>
  <c r="S256" i="3"/>
  <c r="S255" i="3"/>
  <c r="S254" i="3"/>
  <c r="S253" i="3"/>
  <c r="S252" i="3"/>
  <c r="S251" i="3"/>
  <c r="S250" i="3"/>
  <c r="S249" i="3"/>
  <c r="S248" i="3"/>
  <c r="S247" i="3"/>
  <c r="S246" i="3"/>
  <c r="S245" i="3"/>
  <c r="S244" i="3"/>
  <c r="S243" i="3"/>
  <c r="S242" i="3"/>
  <c r="S241" i="3"/>
  <c r="S240" i="3"/>
  <c r="S239" i="3"/>
  <c r="S238" i="3"/>
  <c r="S237" i="3"/>
  <c r="S236" i="3"/>
  <c r="S235" i="3"/>
  <c r="S234" i="3"/>
  <c r="S233" i="3"/>
  <c r="S232" i="3"/>
  <c r="S231" i="3"/>
  <c r="S230" i="3"/>
  <c r="S229" i="3"/>
  <c r="S228" i="3"/>
  <c r="S227" i="3"/>
  <c r="S226" i="3"/>
  <c r="S225" i="3"/>
  <c r="S224" i="3"/>
  <c r="S223" i="3"/>
  <c r="S222" i="3"/>
  <c r="S221" i="3"/>
  <c r="S220" i="3"/>
  <c r="S219" i="3"/>
  <c r="S218" i="3"/>
  <c r="S217" i="3"/>
  <c r="S216" i="3"/>
  <c r="S215" i="3"/>
  <c r="S214" i="3"/>
  <c r="S213" i="3"/>
  <c r="S212" i="3"/>
  <c r="S211" i="3"/>
  <c r="S210" i="3"/>
  <c r="S209" i="3"/>
  <c r="S208" i="3"/>
  <c r="S207" i="3"/>
  <c r="S206" i="3"/>
  <c r="S205" i="3"/>
  <c r="S204" i="3"/>
  <c r="S203" i="3"/>
  <c r="S202" i="3"/>
  <c r="S201" i="3"/>
  <c r="S200" i="3"/>
  <c r="S199" i="3"/>
  <c r="S198" i="3"/>
  <c r="S197" i="3"/>
  <c r="S196" i="3"/>
  <c r="S195" i="3"/>
  <c r="S194" i="3"/>
  <c r="S193" i="3"/>
  <c r="S192" i="3"/>
  <c r="S191" i="3"/>
  <c r="S190" i="3"/>
  <c r="S189" i="3"/>
  <c r="S188" i="3"/>
  <c r="S187" i="3"/>
  <c r="S186" i="3"/>
  <c r="S185" i="3"/>
  <c r="S184" i="3"/>
  <c r="S183" i="3"/>
  <c r="S182" i="3"/>
  <c r="S181" i="3"/>
  <c r="S180" i="3"/>
  <c r="S179" i="3"/>
  <c r="S178" i="3"/>
  <c r="S177" i="3"/>
  <c r="S176" i="3"/>
  <c r="S175" i="3"/>
  <c r="S174" i="3"/>
  <c r="S173" i="3"/>
  <c r="S172" i="3"/>
  <c r="S171" i="3"/>
  <c r="S170" i="3"/>
  <c r="S169" i="3"/>
  <c r="S168" i="3"/>
  <c r="S167" i="3"/>
  <c r="S166" i="3"/>
  <c r="S165" i="3"/>
  <c r="S164" i="3"/>
  <c r="S163" i="3"/>
  <c r="S162" i="3"/>
  <c r="S161" i="3"/>
  <c r="S160" i="3"/>
  <c r="S159" i="3"/>
  <c r="S158" i="3"/>
  <c r="S157" i="3"/>
  <c r="S156" i="3"/>
  <c r="S155" i="3"/>
  <c r="S154" i="3"/>
  <c r="S153" i="3"/>
  <c r="S152" i="3"/>
  <c r="S151" i="3"/>
  <c r="S150" i="3"/>
  <c r="S149" i="3"/>
  <c r="S148" i="3"/>
  <c r="S147" i="3"/>
  <c r="S146" i="3"/>
  <c r="S145" i="3"/>
  <c r="S144" i="3"/>
  <c r="S143" i="3"/>
  <c r="S142" i="3"/>
  <c r="S141" i="3"/>
  <c r="S140" i="3"/>
  <c r="S139" i="3"/>
  <c r="S138" i="3"/>
  <c r="S137" i="3"/>
  <c r="S136" i="3"/>
  <c r="S135" i="3"/>
  <c r="S134" i="3"/>
  <c r="S133" i="3"/>
  <c r="S132" i="3"/>
  <c r="S131" i="3"/>
  <c r="S130" i="3"/>
  <c r="S129" i="3"/>
  <c r="S128" i="3"/>
  <c r="S127" i="3"/>
  <c r="S126" i="3"/>
  <c r="S125" i="3"/>
  <c r="S124" i="3"/>
  <c r="S123" i="3"/>
  <c r="S122" i="3"/>
  <c r="S121" i="3"/>
  <c r="S120" i="3"/>
  <c r="S119" i="3"/>
  <c r="S118" i="3"/>
  <c r="S117" i="3"/>
  <c r="S116" i="3"/>
  <c r="S115" i="3"/>
  <c r="S114" i="3"/>
  <c r="S113" i="3"/>
  <c r="S112" i="3"/>
  <c r="S111" i="3"/>
  <c r="S110" i="3"/>
  <c r="S109" i="3"/>
  <c r="S108" i="3"/>
  <c r="S107" i="3"/>
  <c r="S106" i="3"/>
  <c r="S105" i="3"/>
  <c r="S104" i="3"/>
  <c r="S103" i="3"/>
  <c r="S102" i="3"/>
  <c r="S101" i="3"/>
  <c r="S100" i="3"/>
  <c r="S99" i="3"/>
  <c r="S98" i="3"/>
  <c r="S97" i="3"/>
  <c r="S96" i="3"/>
  <c r="S95" i="3"/>
  <c r="S94" i="3"/>
  <c r="S93" i="3"/>
  <c r="S92" i="3"/>
  <c r="S91" i="3"/>
  <c r="S90" i="3"/>
  <c r="S89" i="3"/>
  <c r="S88" i="3"/>
  <c r="S87" i="3"/>
  <c r="S86" i="3"/>
  <c r="S85" i="3"/>
  <c r="S84" i="3"/>
  <c r="S83" i="3"/>
  <c r="S82" i="3"/>
  <c r="S81" i="3"/>
  <c r="S80" i="3"/>
  <c r="S79" i="3"/>
  <c r="S78" i="3"/>
  <c r="S77" i="3"/>
  <c r="S76" i="3"/>
  <c r="S75" i="3"/>
  <c r="S74" i="3"/>
  <c r="S73" i="3"/>
  <c r="S72" i="3"/>
  <c r="S71" i="3"/>
  <c r="S70" i="3"/>
  <c r="S69" i="3"/>
  <c r="S68" i="3"/>
  <c r="S67" i="3"/>
  <c r="S66" i="3"/>
  <c r="S65" i="3"/>
  <c r="S64" i="3"/>
  <c r="S63" i="3"/>
  <c r="S62" i="3"/>
  <c r="S61" i="3"/>
  <c r="S60" i="3"/>
  <c r="S59" i="3"/>
  <c r="S58" i="3"/>
  <c r="S57" i="3"/>
  <c r="S56" i="3"/>
  <c r="S55" i="3"/>
  <c r="S54" i="3"/>
  <c r="S53" i="3"/>
  <c r="S52" i="3"/>
  <c r="S51" i="3"/>
  <c r="S50" i="3"/>
  <c r="S49" i="3"/>
  <c r="S48" i="3"/>
  <c r="S47" i="3"/>
  <c r="S46" i="3"/>
  <c r="S45" i="3"/>
  <c r="S44" i="3"/>
  <c r="S43" i="3"/>
  <c r="S42" i="3"/>
  <c r="S41" i="3"/>
  <c r="S40" i="3"/>
  <c r="S39" i="3"/>
  <c r="S38" i="3"/>
  <c r="S37" i="3"/>
  <c r="S36" i="3"/>
  <c r="S35" i="3"/>
  <c r="S34" i="3"/>
  <c r="S33" i="3"/>
  <c r="S32" i="3"/>
  <c r="S31" i="3"/>
  <c r="S30" i="3"/>
  <c r="S29" i="3"/>
  <c r="S28" i="3"/>
  <c r="S27" i="3"/>
  <c r="S26" i="3"/>
  <c r="S25" i="3"/>
  <c r="S24" i="3"/>
  <c r="S23" i="3"/>
  <c r="S22" i="3"/>
  <c r="S21" i="3"/>
  <c r="S20" i="3"/>
  <c r="S19" i="3"/>
  <c r="S18" i="3"/>
  <c r="S17" i="3"/>
  <c r="S16" i="3"/>
  <c r="S15" i="3"/>
  <c r="S14" i="3"/>
  <c r="S13" i="3"/>
  <c r="S12" i="3"/>
  <c r="S11" i="3"/>
  <c r="S10" i="3"/>
  <c r="S9" i="3"/>
  <c r="S8" i="3"/>
  <c r="S7" i="3"/>
  <c r="S6" i="3"/>
  <c r="S5" i="3"/>
  <c r="S4" i="3"/>
  <c r="S3" i="3"/>
  <c r="W503" i="1"/>
  <c r="V503" i="1"/>
  <c r="U503" i="1"/>
  <c r="T503" i="1"/>
  <c r="P503" i="1"/>
  <c r="O503" i="1"/>
  <c r="N503" i="1"/>
  <c r="S502" i="1"/>
  <c r="S501" i="1"/>
  <c r="S500" i="1"/>
  <c r="S499" i="1"/>
  <c r="S498" i="1"/>
  <c r="S497" i="1"/>
  <c r="S496" i="1"/>
  <c r="S495" i="1"/>
  <c r="S494" i="1"/>
  <c r="S493" i="1"/>
  <c r="S492" i="1"/>
  <c r="S491" i="1"/>
  <c r="S490" i="1"/>
  <c r="S489" i="1"/>
  <c r="S488" i="1"/>
  <c r="S487" i="1"/>
  <c r="S486" i="1"/>
  <c r="S485" i="1"/>
  <c r="S484" i="1"/>
  <c r="S483" i="1"/>
  <c r="S482" i="1"/>
  <c r="S481" i="1"/>
  <c r="S480" i="1"/>
  <c r="S479" i="1"/>
  <c r="S478" i="1"/>
  <c r="S477" i="1"/>
  <c r="S476" i="1"/>
  <c r="S475" i="1"/>
  <c r="S474" i="1"/>
  <c r="S473" i="1"/>
  <c r="S472" i="1"/>
  <c r="S471" i="1"/>
  <c r="S470" i="1"/>
  <c r="S469" i="1"/>
  <c r="S468" i="1"/>
  <c r="S467" i="1"/>
  <c r="S466" i="1"/>
  <c r="S465" i="1"/>
  <c r="S464" i="1"/>
  <c r="S463" i="1"/>
  <c r="S462" i="1"/>
  <c r="S461" i="1"/>
  <c r="S460" i="1"/>
  <c r="S459" i="1"/>
  <c r="S458" i="1"/>
  <c r="S457" i="1"/>
  <c r="S456" i="1"/>
  <c r="S455" i="1"/>
  <c r="S454" i="1"/>
  <c r="S453" i="1"/>
  <c r="S452" i="1"/>
  <c r="S451" i="1"/>
  <c r="S450" i="1"/>
  <c r="S449" i="1"/>
  <c r="S448" i="1"/>
  <c r="S447" i="1"/>
  <c r="S446" i="1"/>
  <c r="S445" i="1"/>
  <c r="S444" i="1"/>
  <c r="S443" i="1"/>
  <c r="S442" i="1"/>
  <c r="S441" i="1"/>
  <c r="S440" i="1"/>
  <c r="S439" i="1"/>
  <c r="S438" i="1"/>
  <c r="S437" i="1"/>
  <c r="S436" i="1"/>
  <c r="S435" i="1"/>
  <c r="S434" i="1"/>
  <c r="S433" i="1"/>
  <c r="S432" i="1"/>
  <c r="S431" i="1"/>
  <c r="S430" i="1"/>
  <c r="S429" i="1"/>
  <c r="S428" i="1"/>
  <c r="S427" i="1"/>
  <c r="S426" i="1"/>
  <c r="S425" i="1"/>
  <c r="S424" i="1"/>
  <c r="S423" i="1"/>
  <c r="S422" i="1"/>
  <c r="S421" i="1"/>
  <c r="S420" i="1"/>
  <c r="S419" i="1"/>
  <c r="S418" i="1"/>
  <c r="S417" i="1"/>
  <c r="S416" i="1"/>
  <c r="S415" i="1"/>
  <c r="S414" i="1"/>
  <c r="S413" i="1"/>
  <c r="S412" i="1"/>
  <c r="S411" i="1"/>
  <c r="S410" i="1"/>
  <c r="S409" i="1"/>
  <c r="S408" i="1"/>
  <c r="S407" i="1"/>
  <c r="S406" i="1"/>
  <c r="S405" i="1"/>
  <c r="S404" i="1"/>
  <c r="S403" i="1"/>
  <c r="S402" i="1"/>
  <c r="S401" i="1"/>
  <c r="S400" i="1"/>
  <c r="S399" i="1"/>
  <c r="S398" i="1"/>
  <c r="S397" i="1"/>
  <c r="S396" i="1"/>
  <c r="S395" i="1"/>
  <c r="S394" i="1"/>
  <c r="S393" i="1"/>
  <c r="S392" i="1"/>
  <c r="S391" i="1"/>
  <c r="S390" i="1"/>
  <c r="S389" i="1"/>
  <c r="S388" i="1"/>
  <c r="S387" i="1"/>
  <c r="S386" i="1"/>
  <c r="S385" i="1"/>
  <c r="S384" i="1"/>
  <c r="S383" i="1"/>
  <c r="S382" i="1"/>
  <c r="S381" i="1"/>
  <c r="S380" i="1"/>
  <c r="S379" i="1"/>
  <c r="S378" i="1"/>
  <c r="S377" i="1"/>
  <c r="S376" i="1"/>
  <c r="S375" i="1"/>
  <c r="S374" i="1"/>
  <c r="S373" i="1"/>
  <c r="S372" i="1"/>
  <c r="S371" i="1"/>
  <c r="S370" i="1"/>
  <c r="S369" i="1"/>
  <c r="S368" i="1"/>
  <c r="S367" i="1"/>
  <c r="S366" i="1"/>
  <c r="S365" i="1"/>
  <c r="S364" i="1"/>
  <c r="S363" i="1"/>
  <c r="S362" i="1"/>
  <c r="S361" i="1"/>
  <c r="S360" i="1"/>
  <c r="S359" i="1"/>
  <c r="S358" i="1"/>
  <c r="S357" i="1"/>
  <c r="S356" i="1"/>
  <c r="S355" i="1"/>
  <c r="S354" i="1"/>
  <c r="S353" i="1"/>
  <c r="S352" i="1"/>
  <c r="S351" i="1"/>
  <c r="S350" i="1"/>
  <c r="S349" i="1"/>
  <c r="S348" i="1"/>
  <c r="S347" i="1"/>
  <c r="S346" i="1"/>
  <c r="S345" i="1"/>
  <c r="S344" i="1"/>
  <c r="S343" i="1"/>
  <c r="S342" i="1"/>
  <c r="S341" i="1"/>
  <c r="S340" i="1"/>
  <c r="S339" i="1"/>
  <c r="S338" i="1"/>
  <c r="S337" i="1"/>
  <c r="S336" i="1"/>
  <c r="S335" i="1"/>
  <c r="S334" i="1"/>
  <c r="S333" i="1"/>
  <c r="S332" i="1"/>
  <c r="S331" i="1"/>
  <c r="S330" i="1"/>
  <c r="S329" i="1"/>
  <c r="S328" i="1"/>
  <c r="S327" i="1"/>
  <c r="S326" i="1"/>
  <c r="S325" i="1"/>
  <c r="S324" i="1"/>
  <c r="S323" i="1"/>
  <c r="S322" i="1"/>
  <c r="S321" i="1"/>
  <c r="S320" i="1"/>
  <c r="S319" i="1"/>
  <c r="S318" i="1"/>
  <c r="S317" i="1"/>
  <c r="S316" i="1"/>
  <c r="S315" i="1"/>
  <c r="S314" i="1"/>
  <c r="S313" i="1"/>
  <c r="S312" i="1"/>
  <c r="S311" i="1"/>
  <c r="S310" i="1"/>
  <c r="S309" i="1"/>
  <c r="S308" i="1"/>
  <c r="S307" i="1"/>
  <c r="S306" i="1"/>
  <c r="S305" i="1"/>
  <c r="S304" i="1"/>
  <c r="S303" i="1"/>
  <c r="S302" i="1"/>
  <c r="S301" i="1"/>
  <c r="S300" i="1"/>
  <c r="S299" i="1"/>
  <c r="S298" i="1"/>
  <c r="S297" i="1"/>
  <c r="S296" i="1"/>
  <c r="S295" i="1"/>
  <c r="S294" i="1"/>
  <c r="S293" i="1"/>
  <c r="S292" i="1"/>
  <c r="S291" i="1"/>
  <c r="S290" i="1"/>
  <c r="S289" i="1"/>
  <c r="S288" i="1"/>
  <c r="S287" i="1"/>
  <c r="S286" i="1"/>
  <c r="S285" i="1"/>
  <c r="S284" i="1"/>
  <c r="S283" i="1"/>
  <c r="S282" i="1"/>
  <c r="S281" i="1"/>
  <c r="S280" i="1"/>
  <c r="S279" i="1"/>
  <c r="S278" i="1"/>
  <c r="S277" i="1"/>
  <c r="S276" i="1"/>
  <c r="S275" i="1"/>
  <c r="S274" i="1"/>
  <c r="S273" i="1"/>
  <c r="S272" i="1"/>
  <c r="S271" i="1"/>
  <c r="S270" i="1"/>
  <c r="S269" i="1"/>
  <c r="S268" i="1"/>
  <c r="S267" i="1"/>
  <c r="S266" i="1"/>
  <c r="S265" i="1"/>
  <c r="S264" i="1"/>
  <c r="S263" i="1"/>
  <c r="S262" i="1"/>
  <c r="S261" i="1"/>
  <c r="S260" i="1"/>
  <c r="S259" i="1"/>
  <c r="S258" i="1"/>
  <c r="S257" i="1"/>
  <c r="S256" i="1"/>
  <c r="S255" i="1"/>
  <c r="S254" i="1"/>
  <c r="S253" i="1"/>
  <c r="S252" i="1"/>
  <c r="S251" i="1"/>
  <c r="S250" i="1"/>
  <c r="S249" i="1"/>
  <c r="S248" i="1"/>
  <c r="S247" i="1"/>
  <c r="S246" i="1"/>
  <c r="S245" i="1"/>
  <c r="S244" i="1"/>
  <c r="S243" i="1"/>
  <c r="S242" i="1"/>
  <c r="S241" i="1"/>
  <c r="S240" i="1"/>
  <c r="S239" i="1"/>
  <c r="S238" i="1"/>
  <c r="S237" i="1"/>
  <c r="S236" i="1"/>
  <c r="S235" i="1"/>
  <c r="S234" i="1"/>
  <c r="S233" i="1"/>
  <c r="S232" i="1"/>
  <c r="S231" i="1"/>
  <c r="S230" i="1"/>
  <c r="S229" i="1"/>
  <c r="S228" i="1"/>
  <c r="S227" i="1"/>
  <c r="S226" i="1"/>
  <c r="S225" i="1"/>
  <c r="S224" i="1"/>
  <c r="S223" i="1"/>
  <c r="S222" i="1"/>
  <c r="S221" i="1"/>
  <c r="S220" i="1"/>
  <c r="S219" i="1"/>
  <c r="S218" i="1"/>
  <c r="S217" i="1"/>
  <c r="S216" i="1"/>
  <c r="S215" i="1"/>
  <c r="S214" i="1"/>
  <c r="S213" i="1"/>
  <c r="S212" i="1"/>
  <c r="S211" i="1"/>
  <c r="S210" i="1"/>
  <c r="S209" i="1"/>
  <c r="S208" i="1"/>
  <c r="S207" i="1"/>
  <c r="S206" i="1"/>
  <c r="S205" i="1"/>
  <c r="S204" i="1"/>
  <c r="S203" i="1"/>
  <c r="S202" i="1"/>
  <c r="S201" i="1"/>
  <c r="S200" i="1"/>
  <c r="S199" i="1"/>
  <c r="S198" i="1"/>
  <c r="S197" i="1"/>
  <c r="S196" i="1"/>
  <c r="S195" i="1"/>
  <c r="S194" i="1"/>
  <c r="S193" i="1"/>
  <c r="S192" i="1"/>
  <c r="S191" i="1"/>
  <c r="S190" i="1"/>
  <c r="S189" i="1"/>
  <c r="S188" i="1"/>
  <c r="S187" i="1"/>
  <c r="S186" i="1"/>
  <c r="S185" i="1"/>
  <c r="S184" i="1"/>
  <c r="S183" i="1"/>
  <c r="S182" i="1"/>
  <c r="S181" i="1"/>
  <c r="S180" i="1"/>
  <c r="S179" i="1"/>
  <c r="S178" i="1"/>
  <c r="S177" i="1"/>
  <c r="S176" i="1"/>
  <c r="S175" i="1"/>
  <c r="S174" i="1"/>
  <c r="S173" i="1"/>
  <c r="S172" i="1"/>
  <c r="S171" i="1"/>
  <c r="S170" i="1"/>
  <c r="S169" i="1"/>
  <c r="S168" i="1"/>
  <c r="S167" i="1"/>
  <c r="S166" i="1"/>
  <c r="S165" i="1"/>
  <c r="S164" i="1"/>
  <c r="S163" i="1"/>
  <c r="S162" i="1"/>
  <c r="S161" i="1"/>
  <c r="S160" i="1"/>
  <c r="S159" i="1"/>
  <c r="S158" i="1"/>
  <c r="S157" i="1"/>
  <c r="S156" i="1"/>
  <c r="S155" i="1"/>
  <c r="S154" i="1"/>
  <c r="S153" i="1"/>
  <c r="S152" i="1"/>
  <c r="S151" i="1"/>
  <c r="S150" i="1"/>
  <c r="S149" i="1"/>
  <c r="S148" i="1"/>
  <c r="S147" i="1"/>
  <c r="S146" i="1"/>
  <c r="S145" i="1"/>
  <c r="S144" i="1"/>
  <c r="S143" i="1"/>
  <c r="S142" i="1"/>
  <c r="S141" i="1"/>
  <c r="S140" i="1"/>
  <c r="S139" i="1"/>
  <c r="S138" i="1"/>
  <c r="S137" i="1"/>
  <c r="S136" i="1"/>
  <c r="S135" i="1"/>
  <c r="S134" i="1"/>
  <c r="S133" i="1"/>
  <c r="S132" i="1"/>
  <c r="S131" i="1"/>
  <c r="S130" i="1"/>
  <c r="S129" i="1"/>
  <c r="S128" i="1"/>
  <c r="S127" i="1"/>
  <c r="S126" i="1"/>
  <c r="S125" i="1"/>
  <c r="S124" i="1"/>
  <c r="S123" i="1"/>
  <c r="S122" i="1"/>
  <c r="S121" i="1"/>
  <c r="S120" i="1"/>
  <c r="S119" i="1"/>
  <c r="S118" i="1"/>
  <c r="S117" i="1"/>
  <c r="S116" i="1"/>
  <c r="S115" i="1"/>
  <c r="S114" i="1"/>
  <c r="S113" i="1"/>
  <c r="S112" i="1"/>
  <c r="S111" i="1"/>
  <c r="S110" i="1"/>
  <c r="S109" i="1"/>
  <c r="S108" i="1"/>
  <c r="S107" i="1"/>
  <c r="S106" i="1"/>
  <c r="S105" i="1"/>
  <c r="S104" i="1"/>
  <c r="S103" i="1"/>
  <c r="S102" i="1"/>
  <c r="S101" i="1"/>
  <c r="S100" i="1"/>
  <c r="S99" i="1"/>
  <c r="S98" i="1"/>
  <c r="S97" i="1"/>
  <c r="S96" i="1"/>
  <c r="S95" i="1"/>
  <c r="S94" i="1"/>
  <c r="S93" i="1"/>
  <c r="S92" i="1"/>
  <c r="S91" i="1"/>
  <c r="S90" i="1"/>
  <c r="S89" i="1"/>
  <c r="S88" i="1"/>
  <c r="S87" i="1"/>
  <c r="S86" i="1"/>
  <c r="S85" i="1"/>
  <c r="S84" i="1"/>
  <c r="S83" i="1"/>
  <c r="S82" i="1"/>
  <c r="S81" i="1"/>
  <c r="S80" i="1"/>
  <c r="S79" i="1"/>
  <c r="S78" i="1"/>
  <c r="S77" i="1"/>
  <c r="S76" i="1"/>
  <c r="S75" i="1"/>
  <c r="S74" i="1"/>
  <c r="S73" i="1"/>
  <c r="S72" i="1"/>
  <c r="S71" i="1"/>
  <c r="S70" i="1"/>
  <c r="S69" i="1"/>
  <c r="S68" i="1"/>
  <c r="S67" i="1"/>
  <c r="S66" i="1"/>
  <c r="S65" i="1"/>
  <c r="S64" i="1"/>
  <c r="S63" i="1"/>
  <c r="S62" i="1"/>
  <c r="S61" i="1"/>
  <c r="S60" i="1"/>
  <c r="S59" i="1"/>
  <c r="S58" i="1"/>
  <c r="S57" i="1"/>
  <c r="S56" i="1"/>
  <c r="S55" i="1"/>
  <c r="S54" i="1"/>
  <c r="S53" i="1"/>
  <c r="S52" i="1"/>
  <c r="S51" i="1"/>
  <c r="S50" i="1"/>
  <c r="S49" i="1"/>
  <c r="S48" i="1"/>
  <c r="S47" i="1"/>
  <c r="S46" i="1"/>
  <c r="S45" i="1"/>
  <c r="S44" i="1"/>
  <c r="S43" i="1"/>
  <c r="S42" i="1"/>
  <c r="S41" i="1"/>
  <c r="S40" i="1"/>
  <c r="S39" i="1"/>
  <c r="S38" i="1"/>
  <c r="S37" i="1"/>
  <c r="S36" i="1"/>
  <c r="S35" i="1"/>
  <c r="S34" i="1"/>
  <c r="S33" i="1"/>
  <c r="S32" i="1"/>
  <c r="S31" i="1"/>
  <c r="S30" i="1"/>
  <c r="S29" i="1"/>
  <c r="S28" i="1"/>
  <c r="S27" i="1"/>
  <c r="S26" i="1"/>
  <c r="S25" i="1"/>
  <c r="S24" i="1"/>
  <c r="S23" i="1"/>
  <c r="S22" i="1"/>
  <c r="S21" i="1"/>
  <c r="S20" i="1"/>
  <c r="S19" i="1"/>
  <c r="S18" i="1"/>
  <c r="S17" i="1"/>
  <c r="S16" i="1"/>
  <c r="S15" i="1"/>
  <c r="S14" i="1"/>
  <c r="S13" i="1"/>
  <c r="S12" i="1"/>
  <c r="S11" i="1"/>
  <c r="S10" i="1"/>
  <c r="S9" i="1"/>
  <c r="S8" i="1"/>
  <c r="S7" i="1"/>
  <c r="S6" i="1"/>
  <c r="S5" i="1"/>
  <c r="S4" i="1"/>
  <c r="S3" i="1"/>
  <c r="S503" i="3" l="1"/>
  <c r="S503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 PC</author>
    <author>DrSadek</author>
  </authors>
  <commentList>
    <comment ref="G2" authorId="0" shapeId="0" xr:uid="{148FD8AC-0B9C-487B-9296-4F4875D3E481}">
      <text>
        <r>
          <rPr>
            <b/>
            <sz val="9"/>
            <color indexed="81"/>
            <rFont val="Tahoma"/>
          </rPr>
          <t>Home PC:</t>
        </r>
        <r>
          <rPr>
            <sz val="9"/>
            <color indexed="81"/>
            <rFont val="Tahoma"/>
          </rPr>
          <t xml:space="preserve">
from which activity the beneficairies are</t>
        </r>
      </text>
    </comment>
    <comment ref="N2" authorId="1" shapeId="0" xr:uid="{00000000-0006-0000-0000-000001000000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رقم الاتصال</t>
        </r>
      </text>
    </comment>
    <comment ref="O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المكان الحالي</t>
        </r>
      </text>
    </comment>
    <comment ref="P2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مكان السكن الاصلي</t>
        </r>
      </text>
    </comment>
    <comment ref="S2" authorId="1" shapeId="0" xr:uid="{00000000-0006-0000-0000-000004000000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حجم العائلة</t>
        </r>
      </text>
    </comment>
    <comment ref="T2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اناث اصغر من سنتان</t>
        </r>
      </text>
    </comment>
    <comment ref="U2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ذكور اصغر من سنتان</t>
        </r>
      </text>
    </comment>
    <comment ref="V2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اناث ابالغات اكبر من 18 سنة</t>
        </r>
      </text>
    </comment>
    <comment ref="W2" authorId="1" shapeId="0" xr:uid="{5ECA60E9-5B3A-49B8-9362-750C7CE8860A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اناث ابالغات اكبر من 18 سنة</t>
        </r>
      </text>
    </comment>
    <comment ref="X2" authorId="1" shapeId="0" xr:uid="{87178308-02A4-4358-8DCB-40B2AD1AF6EF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الجنس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Home PC</author>
    <author>DrSadek</author>
  </authors>
  <commentList>
    <comment ref="G2" authorId="0" shapeId="0" xr:uid="{52505029-9997-4B43-A842-DF9610FB356B}">
      <text>
        <r>
          <rPr>
            <b/>
            <sz val="9"/>
            <color indexed="81"/>
            <rFont val="Tahoma"/>
          </rPr>
          <t>Home PC:</t>
        </r>
        <r>
          <rPr>
            <sz val="9"/>
            <color indexed="81"/>
            <rFont val="Tahoma"/>
          </rPr>
          <t xml:space="preserve">
from which activity the beneficairies are</t>
        </r>
      </text>
    </comment>
    <comment ref="N2" authorId="1" shapeId="0" xr:uid="{B4FAD4F0-402C-4961-974C-6B5DC29CB4A1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رقم الاتصال</t>
        </r>
      </text>
    </comment>
    <comment ref="O2" authorId="1" shapeId="0" xr:uid="{B34EC2A7-0621-4BB6-89AC-F4388B472683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المكان الحالي</t>
        </r>
      </text>
    </comment>
    <comment ref="P2" authorId="1" shapeId="0" xr:uid="{2FB852CB-1EAA-4AA7-8941-4026E27C9D25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مكان السكن الاصلي</t>
        </r>
      </text>
    </comment>
    <comment ref="S2" authorId="1" shapeId="0" xr:uid="{A217E63F-A35B-42CF-B308-7F794797872A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حجم العائلة</t>
        </r>
      </text>
    </comment>
    <comment ref="T2" authorId="1" shapeId="0" xr:uid="{2CBF74E7-1317-4018-8599-382C62391DD5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اناث اصغر من سنتان</t>
        </r>
      </text>
    </comment>
    <comment ref="U2" authorId="1" shapeId="0" xr:uid="{DA006221-06FB-4D34-B607-B43DF2ED95B9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ذكور اصغر من سنتان</t>
        </r>
      </text>
    </comment>
    <comment ref="V2" authorId="1" shapeId="0" xr:uid="{3603B173-2964-4B70-B957-17C8AF4FE15F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اناث ابالغات اكبر من 18 سنة</t>
        </r>
      </text>
    </comment>
    <comment ref="W2" authorId="1" shapeId="0" xr:uid="{2E78AECC-9195-4004-BAD9-812244BA0E25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اناث ابالغات اكبر من 18 سنة</t>
        </r>
      </text>
    </comment>
    <comment ref="X2" authorId="1" shapeId="0" xr:uid="{7E838561-85A5-4A17-AF52-80249398511B}">
      <text>
        <r>
          <rPr>
            <b/>
            <sz val="9"/>
            <color indexed="81"/>
            <rFont val="Tahoma"/>
            <family val="2"/>
          </rPr>
          <t>DrSadek:</t>
        </r>
        <r>
          <rPr>
            <sz val="9"/>
            <color indexed="81"/>
            <rFont val="Tahoma"/>
            <family val="2"/>
          </rPr>
          <t xml:space="preserve">
الجنس</t>
        </r>
      </text>
    </comment>
  </commentList>
</comments>
</file>

<file path=xl/sharedStrings.xml><?xml version="1.0" encoding="utf-8"?>
<sst xmlns="http://schemas.openxmlformats.org/spreadsheetml/2006/main" count="86" uniqueCount="39">
  <si>
    <t>Gender of Head of HH</t>
  </si>
  <si>
    <t>Family Size (Including Head of HH)</t>
  </si>
  <si>
    <t>Contact Number</t>
  </si>
  <si>
    <t>Origin</t>
  </si>
  <si>
    <t>Current Place of Residence</t>
  </si>
  <si>
    <t>Certified By: _____________________________</t>
  </si>
  <si>
    <t>Sn</t>
  </si>
  <si>
    <t xml:space="preserve">Name of Beneficiary </t>
  </si>
  <si>
    <t>NID No</t>
  </si>
  <si>
    <t>Upload NID</t>
  </si>
  <si>
    <t>Female ( age less than 17)</t>
  </si>
  <si>
    <t>Female (more than 18)</t>
  </si>
  <si>
    <t>Male ( More than 18)2</t>
  </si>
  <si>
    <t>Male ( Less than 18)</t>
  </si>
  <si>
    <t>VDO Master Beneficiary Data Base</t>
  </si>
  <si>
    <t>Donor</t>
  </si>
  <si>
    <t>Project</t>
  </si>
  <si>
    <t>Project Location</t>
  </si>
  <si>
    <t xml:space="preserve">Activity </t>
  </si>
  <si>
    <t>District</t>
  </si>
  <si>
    <t>Village ( If applicable)</t>
  </si>
  <si>
    <t>Relavance to VDO St Priority-Thematic Area</t>
  </si>
  <si>
    <t>Project Code - Agreement</t>
  </si>
  <si>
    <t>Type of beneficairy</t>
  </si>
  <si>
    <t>Community Elder</t>
  </si>
  <si>
    <t>Disability</t>
  </si>
  <si>
    <t>Returnee</t>
  </si>
  <si>
    <t>Youth</t>
  </si>
  <si>
    <t>GBV Survivor</t>
  </si>
  <si>
    <t>Volunerable Communities</t>
  </si>
  <si>
    <t>Female HH</t>
  </si>
  <si>
    <t>Type of Service</t>
  </si>
  <si>
    <t>Status</t>
  </si>
  <si>
    <t>M/F</t>
  </si>
  <si>
    <t xml:space="preserve">Unverified beneficairy </t>
  </si>
  <si>
    <t xml:space="preserve">Verified Beneficairy </t>
  </si>
  <si>
    <t xml:space="preserve"> </t>
  </si>
  <si>
    <t>upon clinc</t>
  </si>
  <si>
    <t>data to be shifted to verified data 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</si>
</sst>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</font>
    <font>
      <b/>
      <sz val="9"/>
      <color indexed="81"/>
      <name val="Tahoma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1"/>
      <color theme="0" tint="-4.9989318521683403E-2"/>
      <name val="Times New Roman"/>
      <family val="1"/>
    </font>
    <font>
      <b/>
      <sz val="11"/>
      <color theme="0" tint="-4.9989318521683403E-2"/>
      <name val="Times New Roman"/>
      <family val="1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7030A0"/>
        <bgColor theme="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0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vertical="top"/>
    </xf>
    <xf numFmtId="0" fontId="6" fillId="0" borderId="0" xfId="0" applyFont="1" applyAlignment="1">
      <alignment horizontal="left"/>
    </xf>
    <xf numFmtId="0" fontId="6" fillId="0" borderId="0" xfId="1" applyNumberFormat="1" applyFont="1" applyAlignment="1">
      <alignment horizontal="left"/>
    </xf>
    <xf numFmtId="0" fontId="6" fillId="0" borderId="0" xfId="1" applyNumberFormat="1" applyFont="1" applyAlignment="1">
      <alignment horizontal="center"/>
    </xf>
    <xf numFmtId="3" fontId="6" fillId="0" borderId="0" xfId="0" applyNumberFormat="1" applyFont="1" applyAlignment="1">
      <alignment horizontal="center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left" vertical="center"/>
    </xf>
    <xf numFmtId="0" fontId="6" fillId="0" borderId="1" xfId="0" applyFont="1" applyBorder="1" applyAlignment="1">
      <alignment horizontal="center"/>
    </xf>
    <xf numFmtId="0" fontId="6" fillId="0" borderId="1" xfId="0" applyFont="1" applyBorder="1"/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/>
    </xf>
    <xf numFmtId="0" fontId="6" fillId="0" borderId="1" xfId="1" applyNumberFormat="1" applyFont="1" applyBorder="1" applyAlignment="1">
      <alignment horizontal="left"/>
    </xf>
    <xf numFmtId="0" fontId="6" fillId="0" borderId="1" xfId="1" applyNumberFormat="1" applyFont="1" applyBorder="1" applyAlignment="1">
      <alignment horizontal="center"/>
    </xf>
    <xf numFmtId="0" fontId="9" fillId="3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5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" formatCode="#,##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0" tint="-4.9989318521683403E-2"/>
        <name val="Times New Roman"/>
        <family val="1"/>
        <scheme val="none"/>
      </font>
      <fill>
        <patternFill>
          <bgColor rgb="FF7030A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3" formatCode="#,##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family val="1"/>
        <scheme val="none"/>
      </font>
      <numFmt numFmtId="0" formatCode="General"/>
      <alignment horizontal="left" vertical="bottom" textRotation="0" wrapText="0" relativeIndent="0" justifyLastLine="0" shrinkToFit="0" readingOrder="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  <numFmt numFmtId="3" formatCode="#,##0"/>
    </dxf>
    <dxf>
      <font>
        <strike val="0"/>
        <outline val="0"/>
        <shadow val="0"/>
        <u val="none"/>
        <vertAlign val="baseline"/>
        <name val="Times New Roman"/>
        <family val="1"/>
        <scheme val="none"/>
      </font>
    </dxf>
    <dxf>
      <font>
        <strike val="0"/>
        <outline val="0"/>
        <shadow val="0"/>
        <u val="none"/>
        <vertAlign val="baseline"/>
        <sz val="11"/>
        <color theme="0" tint="-4.9989318521683403E-2"/>
        <name val="Times New Roman"/>
        <family val="1"/>
        <scheme val="none"/>
      </font>
      <fill>
        <patternFill>
          <bgColor rgb="FF7030A0"/>
        </patternFill>
      </fill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colors>
    <mruColors>
      <color rgb="FFFFFF99"/>
      <color rgb="FFFF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3" displayName="Table3" ref="N2:X503" totalsRowCount="1" headerRowDxfId="49" dataDxfId="48" totalsRowDxfId="47">
  <tableColumns count="11">
    <tableColumn id="10" xr3:uid="{00000000-0010-0000-0000-00000A000000}" name="Contact Number" totalsRowFunction="count" dataDxfId="46" totalsRowDxfId="35" dataCellStyle="Comma"/>
    <tableColumn id="3" xr3:uid="{00000000-0010-0000-0000-000003000000}" name="Current Place of Residence" totalsRowFunction="count" dataDxfId="45" totalsRowDxfId="34" dataCellStyle="Comma"/>
    <tableColumn id="21" xr3:uid="{00000000-0010-0000-0000-000015000000}" name="Origin" totalsRowFunction="count" dataDxfId="44" totalsRowDxfId="33"/>
    <tableColumn id="1" xr3:uid="{1A7B072C-3FDB-43C7-982A-3752DDD32F94}" name="District" dataDxfId="43" totalsRowDxfId="32"/>
    <tableColumn id="2" xr3:uid="{DB892A53-2215-4624-9385-6CD54C8F60B4}" name="Village ( If applicable)" dataDxfId="42" totalsRowDxfId="31"/>
    <tableColumn id="9" xr3:uid="{00000000-0010-0000-0000-000009000000}" name="Family Size (Including Head of HH)" totalsRowFunction="sum" dataDxfId="41" totalsRowDxfId="30" dataCellStyle="Comma">
      <calculatedColumnFormula>SUM(Table3[[#This Row],[Female ( age less than 17)]:[Male ( More than 18)2]])</calculatedColumnFormula>
    </tableColumn>
    <tableColumn id="20" xr3:uid="{00000000-0010-0000-0000-000014000000}" name="Female ( age less than 17)" totalsRowFunction="sum" dataDxfId="40" totalsRowDxfId="29"/>
    <tableColumn id="19" xr3:uid="{00000000-0010-0000-0000-000013000000}" name="Female (more than 18)" totalsRowFunction="sum" dataDxfId="39" totalsRowDxfId="28"/>
    <tableColumn id="16" xr3:uid="{00000000-0010-0000-0000-000010000000}" name="Male ( Less than 18)" totalsRowFunction="sum" dataDxfId="38" totalsRowDxfId="27"/>
    <tableColumn id="15" xr3:uid="{00000000-0010-0000-0000-00000F000000}" name="Male ( More than 18)2" totalsRowFunction="sum" dataDxfId="37" totalsRowDxfId="26"/>
    <tableColumn id="5" xr3:uid="{EE4D80D7-BC09-4E5E-8587-0FFA04D4A65B}" name="Gender of Head of HH" dataDxfId="36" totalsRowDxfId="25"/>
  </tableColumns>
  <tableStyleInfo name="TableStyleLight1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5ED00E-AFD8-4377-92E3-40541EF32415}" name="Table32" displayName="Table32" ref="N2:X503" totalsRowCount="1" headerRowDxfId="24" dataDxfId="23" totalsRowDxfId="22">
  <tableColumns count="11">
    <tableColumn id="10" xr3:uid="{5FD52546-9D82-4B2F-BEB5-8067C76944C3}" name="Contact Number" totalsRowFunction="count" dataDxfId="20" totalsRowDxfId="21" dataCellStyle="Comma"/>
    <tableColumn id="3" xr3:uid="{02510D47-B048-437C-956E-AD00115704C6}" name="Current Place of Residence" totalsRowFunction="count" dataDxfId="18" totalsRowDxfId="19" dataCellStyle="Comma"/>
    <tableColumn id="21" xr3:uid="{BAF672EE-FD15-4019-B750-EAE96F711900}" name="Origin" totalsRowFunction="count" dataDxfId="16" totalsRowDxfId="17"/>
    <tableColumn id="1" xr3:uid="{722C7132-D70F-424A-B50F-7548271F7A1C}" name="District" dataDxfId="14" totalsRowDxfId="15"/>
    <tableColumn id="2" xr3:uid="{85D4876E-6BF1-4A5E-9B52-33D16C978121}" name="Village ( If applicable)" dataDxfId="12" totalsRowDxfId="13"/>
    <tableColumn id="9" xr3:uid="{91FB36CE-150D-44B1-9290-58E439BC6C01}" name="Family Size (Including Head of HH)" totalsRowFunction="sum" dataDxfId="10" totalsRowDxfId="11" dataCellStyle="Comma">
      <calculatedColumnFormula>SUM(Table32[[#This Row],[Female ( age less than 17)]:[Male ( More than 18)2]])</calculatedColumnFormula>
    </tableColumn>
    <tableColumn id="20" xr3:uid="{5599A61E-0746-4C5A-8AFE-A61A5B909F6A}" name="Female ( age less than 17)" totalsRowFunction="sum" dataDxfId="8" totalsRowDxfId="9"/>
    <tableColumn id="19" xr3:uid="{0CA9AC9B-F79F-406C-83D3-D7C1812A48E2}" name="Female (more than 18)" totalsRowFunction="sum" dataDxfId="6" totalsRowDxfId="7"/>
    <tableColumn id="16" xr3:uid="{6F3786FC-BE4C-4583-BE0C-F211B259B994}" name="Male ( Less than 18)" totalsRowFunction="sum" dataDxfId="4" totalsRowDxfId="5"/>
    <tableColumn id="15" xr3:uid="{4EDBCCC2-2B04-4A8D-A45E-5AEB9D4A280D}" name="Male ( More than 18)2" totalsRowFunction="sum" dataDxfId="2" totalsRowDxfId="3"/>
    <tableColumn id="5" xr3:uid="{3D945FCD-A585-4DBF-A775-407406105728}" name="Gender of Head of HH" dataDxfId="0" totalsRowDxfId="1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509"/>
  <sheetViews>
    <sheetView view="pageBreakPreview" zoomScale="60" zoomScaleNormal="100" workbookViewId="0">
      <selection activeCell="K4" sqref="K4"/>
    </sheetView>
  </sheetViews>
  <sheetFormatPr defaultColWidth="9.109375" defaultRowHeight="13.8" x14ac:dyDescent="0.25"/>
  <cols>
    <col min="1" max="7" width="9.109375" style="2"/>
    <col min="8" max="8" width="16" style="2" customWidth="1"/>
    <col min="9" max="10" width="21.109375" style="2" customWidth="1"/>
    <col min="11" max="11" width="29.109375" style="2" customWidth="1"/>
    <col min="12" max="12" width="21.6640625" style="1" customWidth="1"/>
    <col min="13" max="13" width="10.6640625" style="1" bestFit="1" customWidth="1"/>
    <col min="14" max="14" width="13.109375" style="1" customWidth="1"/>
    <col min="15" max="15" width="23.6640625" style="4" customWidth="1"/>
    <col min="16" max="18" width="8.88671875" style="1" customWidth="1"/>
    <col min="19" max="19" width="15.77734375" style="4" customWidth="1"/>
    <col min="20" max="20" width="15.77734375" style="1" customWidth="1"/>
    <col min="21" max="21" width="15.77734375" style="8" customWidth="1"/>
    <col min="22" max="22" width="15.77734375" style="1" customWidth="1"/>
    <col min="23" max="24" width="15.77734375" style="8" customWidth="1"/>
    <col min="25" max="25" width="9.109375" style="1"/>
    <col min="26" max="26" width="9.33203125" style="8" customWidth="1"/>
    <col min="27" max="27" width="9.109375" style="1"/>
    <col min="28" max="28" width="9.33203125" style="8" customWidth="1"/>
    <col min="29" max="29" width="9.109375" style="1"/>
    <col min="30" max="30" width="9.33203125" style="1" customWidth="1"/>
    <col min="31" max="31" width="9.109375" style="1"/>
    <col min="32" max="32" width="14.109375" style="8" customWidth="1"/>
    <col min="33" max="33" width="9.109375" style="1"/>
    <col min="34" max="34" width="21.109375" style="1" customWidth="1"/>
    <col min="35" max="35" width="9.109375" style="1"/>
    <col min="36" max="36" width="18.6640625" style="4" customWidth="1"/>
    <col min="37" max="37" width="9.109375" style="1"/>
    <col min="38" max="38" width="22.33203125" style="4" bestFit="1" customWidth="1"/>
    <col min="39" max="39" width="19" style="1" customWidth="1"/>
    <col min="40" max="41" width="9.109375" style="1"/>
    <col min="42" max="55" width="14.109375" style="1" customWidth="1"/>
    <col min="56" max="16384" width="9.109375" style="1"/>
  </cols>
  <sheetData>
    <row r="1" spans="1:38" ht="43.2" customHeight="1" x14ac:dyDescent="0.25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Z1" s="1"/>
      <c r="AB1" s="1"/>
      <c r="AF1" s="1"/>
      <c r="AJ1" s="1"/>
      <c r="AL1" s="1"/>
    </row>
    <row r="2" spans="1:38" s="3" customFormat="1" ht="82.8" x14ac:dyDescent="0.3">
      <c r="A2" s="17" t="s">
        <v>6</v>
      </c>
      <c r="B2" s="17" t="s">
        <v>22</v>
      </c>
      <c r="C2" s="17" t="s">
        <v>15</v>
      </c>
      <c r="D2" s="17" t="s">
        <v>16</v>
      </c>
      <c r="E2" s="17" t="s">
        <v>17</v>
      </c>
      <c r="F2" s="17" t="s">
        <v>21</v>
      </c>
      <c r="G2" s="17" t="s">
        <v>18</v>
      </c>
      <c r="H2" s="17" t="s">
        <v>7</v>
      </c>
      <c r="I2" s="17" t="s">
        <v>23</v>
      </c>
      <c r="J2" s="17" t="s">
        <v>31</v>
      </c>
      <c r="K2" s="17" t="s">
        <v>32</v>
      </c>
      <c r="L2" s="17" t="s">
        <v>8</v>
      </c>
      <c r="M2" s="17" t="s">
        <v>9</v>
      </c>
      <c r="N2" s="18" t="s">
        <v>2</v>
      </c>
      <c r="O2" s="18" t="s">
        <v>4</v>
      </c>
      <c r="P2" s="18" t="s">
        <v>3</v>
      </c>
      <c r="Q2" s="18" t="s">
        <v>19</v>
      </c>
      <c r="R2" s="18" t="s">
        <v>20</v>
      </c>
      <c r="S2" s="18" t="s">
        <v>1</v>
      </c>
      <c r="T2" s="18" t="s">
        <v>10</v>
      </c>
      <c r="U2" s="18" t="s">
        <v>11</v>
      </c>
      <c r="V2" s="18" t="s">
        <v>13</v>
      </c>
      <c r="W2" s="18" t="s">
        <v>12</v>
      </c>
      <c r="X2" s="18" t="s">
        <v>0</v>
      </c>
    </row>
    <row r="3" spans="1:38" x14ac:dyDescent="0.25">
      <c r="A3" s="10"/>
      <c r="B3" s="10"/>
      <c r="C3" s="10"/>
      <c r="D3" s="10"/>
      <c r="E3" s="10"/>
      <c r="F3" s="10"/>
      <c r="G3" s="10"/>
      <c r="H3" s="10"/>
      <c r="I3" s="10" t="s">
        <v>24</v>
      </c>
      <c r="J3" s="10"/>
      <c r="K3" s="10" t="s">
        <v>35</v>
      </c>
      <c r="L3" s="11"/>
      <c r="M3" s="11"/>
      <c r="N3" s="12"/>
      <c r="O3" s="12"/>
      <c r="P3" s="10"/>
      <c r="Q3" s="10"/>
      <c r="R3" s="10"/>
      <c r="S3" s="13">
        <f>SUM(Table3[[#This Row],[Female ( age less than 17)]:[Male ( More than 18)2]])</f>
        <v>0</v>
      </c>
      <c r="T3" s="10"/>
      <c r="U3" s="10"/>
      <c r="V3" s="10"/>
      <c r="W3" s="10"/>
      <c r="X3" s="10" t="s">
        <v>33</v>
      </c>
      <c r="Z3" s="1"/>
      <c r="AB3" s="1"/>
      <c r="AF3" s="1"/>
      <c r="AJ3" s="1"/>
      <c r="AL3" s="1"/>
    </row>
    <row r="4" spans="1:38" x14ac:dyDescent="0.25">
      <c r="A4" s="10"/>
      <c r="B4" s="10"/>
      <c r="C4" s="10"/>
      <c r="D4" s="10"/>
      <c r="E4" s="10"/>
      <c r="F4" s="10"/>
      <c r="G4" s="10"/>
      <c r="H4" s="10"/>
      <c r="I4" s="10" t="s">
        <v>25</v>
      </c>
      <c r="J4" s="10"/>
      <c r="K4" s="10" t="s">
        <v>35</v>
      </c>
      <c r="L4" s="11"/>
      <c r="M4" s="11"/>
      <c r="N4" s="12"/>
      <c r="O4" s="12"/>
      <c r="P4" s="10"/>
      <c r="Q4" s="10"/>
      <c r="R4" s="10"/>
      <c r="S4" s="13">
        <f>SUM(Table3[[#This Row],[Female ( age less than 17)]:[Male ( More than 18)2]])</f>
        <v>0</v>
      </c>
      <c r="T4" s="10"/>
      <c r="U4" s="10"/>
      <c r="V4" s="10"/>
      <c r="W4" s="10"/>
      <c r="X4" s="10"/>
      <c r="Z4" s="1"/>
      <c r="AB4" s="1"/>
      <c r="AF4" s="1"/>
      <c r="AJ4" s="1"/>
      <c r="AL4" s="1"/>
    </row>
    <row r="5" spans="1:38" x14ac:dyDescent="0.25">
      <c r="A5" s="10"/>
      <c r="B5" s="10"/>
      <c r="C5" s="10"/>
      <c r="D5" s="10"/>
      <c r="E5" s="10"/>
      <c r="F5" s="10"/>
      <c r="G5" s="10"/>
      <c r="H5" s="10"/>
      <c r="I5" s="10" t="s">
        <v>26</v>
      </c>
      <c r="J5" s="10"/>
      <c r="K5" s="10" t="s">
        <v>35</v>
      </c>
      <c r="L5" s="11"/>
      <c r="M5" s="11"/>
      <c r="N5" s="12"/>
      <c r="O5" s="12"/>
      <c r="P5" s="10"/>
      <c r="Q5" s="10"/>
      <c r="R5" s="10"/>
      <c r="S5" s="13">
        <f>SUM(Table3[[#This Row],[Female ( age less than 17)]:[Male ( More than 18)2]])</f>
        <v>0</v>
      </c>
      <c r="T5" s="10"/>
      <c r="U5" s="10"/>
      <c r="V5" s="10"/>
      <c r="W5" s="10"/>
      <c r="X5" s="10"/>
      <c r="Z5" s="1"/>
      <c r="AB5" s="1"/>
      <c r="AF5" s="1"/>
      <c r="AJ5" s="1"/>
      <c r="AL5" s="1"/>
    </row>
    <row r="6" spans="1:38" x14ac:dyDescent="0.25">
      <c r="A6" s="10"/>
      <c r="B6" s="10"/>
      <c r="C6" s="10"/>
      <c r="D6" s="10"/>
      <c r="E6" s="10"/>
      <c r="F6" s="10"/>
      <c r="G6" s="10"/>
      <c r="H6" s="10"/>
      <c r="I6" s="10" t="s">
        <v>27</v>
      </c>
      <c r="J6" s="10"/>
      <c r="K6" s="10" t="s">
        <v>35</v>
      </c>
      <c r="L6" s="11"/>
      <c r="M6" s="11"/>
      <c r="N6" s="12"/>
      <c r="O6" s="12"/>
      <c r="P6" s="10"/>
      <c r="Q6" s="10"/>
      <c r="R6" s="10"/>
      <c r="S6" s="13">
        <f>SUM(Table3[[#This Row],[Female ( age less than 17)]:[Male ( More than 18)2]])</f>
        <v>0</v>
      </c>
      <c r="T6" s="10"/>
      <c r="U6" s="10"/>
      <c r="V6" s="10"/>
      <c r="W6" s="10"/>
      <c r="X6" s="10"/>
      <c r="Z6" s="1"/>
      <c r="AB6" s="1"/>
      <c r="AF6" s="1"/>
      <c r="AJ6" s="1"/>
      <c r="AL6" s="1"/>
    </row>
    <row r="7" spans="1:38" x14ac:dyDescent="0.25">
      <c r="A7" s="10"/>
      <c r="B7" s="10"/>
      <c r="C7" s="10"/>
      <c r="D7" s="10"/>
      <c r="E7" s="10"/>
      <c r="F7" s="10"/>
      <c r="G7" s="10"/>
      <c r="H7" s="10"/>
      <c r="I7" s="10" t="s">
        <v>28</v>
      </c>
      <c r="J7" s="10"/>
      <c r="K7" s="10" t="s">
        <v>35</v>
      </c>
      <c r="L7" s="11"/>
      <c r="M7" s="11"/>
      <c r="N7" s="12"/>
      <c r="O7" s="12"/>
      <c r="P7" s="10"/>
      <c r="Q7" s="10"/>
      <c r="R7" s="10"/>
      <c r="S7" s="13">
        <f>SUM(Table3[[#This Row],[Female ( age less than 17)]:[Male ( More than 18)2]])</f>
        <v>0</v>
      </c>
      <c r="T7" s="10"/>
      <c r="U7" s="10"/>
      <c r="V7" s="10"/>
      <c r="W7" s="10"/>
      <c r="X7" s="10"/>
      <c r="Z7" s="1"/>
      <c r="AB7" s="1"/>
      <c r="AF7" s="1"/>
      <c r="AJ7" s="1"/>
      <c r="AL7" s="1"/>
    </row>
    <row r="8" spans="1:38" x14ac:dyDescent="0.25">
      <c r="A8" s="10"/>
      <c r="B8" s="10"/>
      <c r="C8" s="10"/>
      <c r="D8" s="10"/>
      <c r="E8" s="10"/>
      <c r="F8" s="10"/>
      <c r="G8" s="10"/>
      <c r="H8" s="10"/>
      <c r="I8" s="10" t="s">
        <v>29</v>
      </c>
      <c r="J8" s="10"/>
      <c r="K8" s="10" t="s">
        <v>35</v>
      </c>
      <c r="L8" s="11"/>
      <c r="M8" s="11"/>
      <c r="N8" s="12"/>
      <c r="O8" s="12"/>
      <c r="P8" s="10"/>
      <c r="Q8" s="10"/>
      <c r="R8" s="10"/>
      <c r="S8" s="13">
        <f>SUM(Table3[[#This Row],[Female ( age less than 17)]:[Male ( More than 18)2]])</f>
        <v>0</v>
      </c>
      <c r="T8" s="10"/>
      <c r="U8" s="10"/>
      <c r="V8" s="10"/>
      <c r="W8" s="10"/>
      <c r="X8" s="10"/>
      <c r="Z8" s="1"/>
      <c r="AB8" s="1"/>
      <c r="AF8" s="1"/>
      <c r="AJ8" s="1"/>
      <c r="AL8" s="1"/>
    </row>
    <row r="9" spans="1:38" x14ac:dyDescent="0.25">
      <c r="A9" s="10"/>
      <c r="B9" s="10"/>
      <c r="C9" s="10"/>
      <c r="D9" s="10"/>
      <c r="E9" s="10"/>
      <c r="F9" s="10"/>
      <c r="G9" s="10"/>
      <c r="H9" s="10"/>
      <c r="I9" s="10" t="s">
        <v>30</v>
      </c>
      <c r="J9" s="10"/>
      <c r="K9" s="10" t="s">
        <v>35</v>
      </c>
      <c r="L9" s="11"/>
      <c r="M9" s="11"/>
      <c r="N9" s="12"/>
      <c r="O9" s="12"/>
      <c r="P9" s="10"/>
      <c r="Q9" s="10"/>
      <c r="R9" s="10"/>
      <c r="S9" s="13">
        <f>SUM(Table3[[#This Row],[Female ( age less than 17)]:[Male ( More than 18)2]])</f>
        <v>0</v>
      </c>
      <c r="T9" s="10"/>
      <c r="U9" s="10"/>
      <c r="V9" s="10"/>
      <c r="W9" s="10"/>
      <c r="X9" s="10"/>
      <c r="Z9" s="1"/>
      <c r="AB9" s="1"/>
      <c r="AF9" s="1"/>
      <c r="AJ9" s="1"/>
      <c r="AL9" s="1"/>
    </row>
    <row r="10" spans="1:3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 t="s">
        <v>35</v>
      </c>
      <c r="L10" s="11"/>
      <c r="M10" s="11"/>
      <c r="N10" s="12"/>
      <c r="O10" s="12"/>
      <c r="P10" s="10"/>
      <c r="Q10" s="10"/>
      <c r="R10" s="10"/>
      <c r="S10" s="13">
        <f>SUM(Table3[[#This Row],[Female ( age less than 17)]:[Male ( More than 18)2]])</f>
        <v>0</v>
      </c>
      <c r="T10" s="10"/>
      <c r="U10" s="10"/>
      <c r="V10" s="10"/>
      <c r="W10" s="10"/>
      <c r="X10" s="10"/>
      <c r="Z10" s="1"/>
      <c r="AB10" s="1"/>
      <c r="AF10" s="1"/>
      <c r="AJ10" s="1"/>
      <c r="AL10" s="1"/>
    </row>
    <row r="11" spans="1:3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 t="s">
        <v>35</v>
      </c>
      <c r="L11" s="11"/>
      <c r="M11" s="11"/>
      <c r="N11" s="12"/>
      <c r="O11" s="12"/>
      <c r="P11" s="10"/>
      <c r="Q11" s="10"/>
      <c r="R11" s="10"/>
      <c r="S11" s="13">
        <f>SUM(Table3[[#This Row],[Female ( age less than 17)]:[Male ( More than 18)2]])</f>
        <v>0</v>
      </c>
      <c r="T11" s="10"/>
      <c r="U11" s="10"/>
      <c r="V11" s="10"/>
      <c r="W11" s="10"/>
      <c r="X11" s="10"/>
      <c r="Z11" s="1"/>
      <c r="AB11" s="1"/>
      <c r="AF11" s="1"/>
      <c r="AJ11" s="1"/>
      <c r="AL11" s="1"/>
    </row>
    <row r="12" spans="1:3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 t="s">
        <v>35</v>
      </c>
      <c r="L12" s="11"/>
      <c r="M12" s="11"/>
      <c r="N12" s="12"/>
      <c r="O12" s="12"/>
      <c r="P12" s="10"/>
      <c r="Q12" s="10"/>
      <c r="R12" s="10"/>
      <c r="S12" s="13">
        <f>SUM(Table3[[#This Row],[Female ( age less than 17)]:[Male ( More than 18)2]])</f>
        <v>0</v>
      </c>
      <c r="T12" s="10"/>
      <c r="U12" s="10"/>
      <c r="V12" s="10"/>
      <c r="W12" s="10"/>
      <c r="X12" s="10"/>
      <c r="Z12" s="1"/>
      <c r="AB12" s="1"/>
      <c r="AF12" s="1"/>
      <c r="AJ12" s="1"/>
      <c r="AL12" s="1"/>
    </row>
    <row r="13" spans="1:3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 t="s">
        <v>35</v>
      </c>
      <c r="L13" s="11"/>
      <c r="M13" s="11"/>
      <c r="N13" s="12"/>
      <c r="O13" s="12"/>
      <c r="P13" s="10"/>
      <c r="Q13" s="10"/>
      <c r="R13" s="10"/>
      <c r="S13" s="13">
        <f>SUM(Table3[[#This Row],[Female ( age less than 17)]:[Male ( More than 18)2]])</f>
        <v>0</v>
      </c>
      <c r="T13" s="10"/>
      <c r="U13" s="10"/>
      <c r="V13" s="10"/>
      <c r="W13" s="10"/>
      <c r="X13" s="10"/>
      <c r="Z13" s="1"/>
      <c r="AB13" s="1"/>
      <c r="AF13" s="1"/>
      <c r="AJ13" s="1"/>
      <c r="AL13" s="1"/>
    </row>
    <row r="14" spans="1:3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 t="s">
        <v>35</v>
      </c>
      <c r="L14" s="11"/>
      <c r="M14" s="11"/>
      <c r="N14" s="12"/>
      <c r="O14" s="12"/>
      <c r="P14" s="10"/>
      <c r="Q14" s="10"/>
      <c r="R14" s="10"/>
      <c r="S14" s="13">
        <f>SUM(Table3[[#This Row],[Female ( age less than 17)]:[Male ( More than 18)2]])</f>
        <v>0</v>
      </c>
      <c r="T14" s="10"/>
      <c r="U14" s="10"/>
      <c r="V14" s="10"/>
      <c r="W14" s="10"/>
      <c r="X14" s="10"/>
      <c r="Z14" s="1"/>
      <c r="AB14" s="1"/>
      <c r="AF14" s="1"/>
      <c r="AJ14" s="1"/>
      <c r="AL14" s="1"/>
    </row>
    <row r="15" spans="1:3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 t="s">
        <v>35</v>
      </c>
      <c r="L15" s="11"/>
      <c r="M15" s="11"/>
      <c r="N15" s="12"/>
      <c r="O15" s="12"/>
      <c r="P15" s="10"/>
      <c r="Q15" s="10"/>
      <c r="R15" s="10"/>
      <c r="S15" s="13">
        <f>SUM(Table3[[#This Row],[Female ( age less than 17)]:[Male ( More than 18)2]])</f>
        <v>0</v>
      </c>
      <c r="T15" s="10"/>
      <c r="U15" s="10"/>
      <c r="V15" s="10"/>
      <c r="W15" s="10"/>
      <c r="X15" s="10"/>
      <c r="Z15" s="1"/>
      <c r="AB15" s="1"/>
      <c r="AF15" s="1"/>
      <c r="AJ15" s="1"/>
      <c r="AL15" s="1"/>
    </row>
    <row r="16" spans="1:3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 t="s">
        <v>35</v>
      </c>
      <c r="L16" s="11"/>
      <c r="M16" s="11"/>
      <c r="N16" s="12"/>
      <c r="O16" s="12"/>
      <c r="P16" s="10"/>
      <c r="Q16" s="10"/>
      <c r="R16" s="10"/>
      <c r="S16" s="13">
        <f>SUM(Table3[[#This Row],[Female ( age less than 17)]:[Male ( More than 18)2]])</f>
        <v>0</v>
      </c>
      <c r="T16" s="10"/>
      <c r="U16" s="10"/>
      <c r="V16" s="10"/>
      <c r="W16" s="10"/>
      <c r="X16" s="10"/>
      <c r="Z16" s="1"/>
      <c r="AB16" s="1"/>
      <c r="AF16" s="1"/>
      <c r="AJ16" s="1"/>
      <c r="AL16" s="1"/>
    </row>
    <row r="17" spans="1:3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  <c r="M17" s="11"/>
      <c r="N17" s="12"/>
      <c r="O17" s="12"/>
      <c r="P17" s="10"/>
      <c r="Q17" s="10"/>
      <c r="R17" s="10"/>
      <c r="S17" s="13">
        <f>SUM(Table3[[#This Row],[Female ( age less than 17)]:[Male ( More than 18)2]])</f>
        <v>0</v>
      </c>
      <c r="T17" s="10"/>
      <c r="U17" s="10"/>
      <c r="V17" s="10"/>
      <c r="W17" s="10"/>
      <c r="X17" s="10"/>
      <c r="Z17" s="1"/>
      <c r="AB17" s="1"/>
      <c r="AF17" s="1"/>
      <c r="AJ17" s="1"/>
      <c r="AL17" s="1"/>
    </row>
    <row r="18" spans="1:3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11"/>
      <c r="N18" s="12"/>
      <c r="O18" s="12"/>
      <c r="P18" s="10"/>
      <c r="Q18" s="10"/>
      <c r="R18" s="10"/>
      <c r="S18" s="13">
        <f>SUM(Table3[[#This Row],[Female ( age less than 17)]:[Male ( More than 18)2]])</f>
        <v>0</v>
      </c>
      <c r="T18" s="10"/>
      <c r="U18" s="10"/>
      <c r="V18" s="10"/>
      <c r="W18" s="10"/>
      <c r="X18" s="10"/>
      <c r="Z18" s="1"/>
      <c r="AB18" s="1"/>
      <c r="AF18" s="1"/>
      <c r="AJ18" s="1"/>
      <c r="AL18" s="1"/>
    </row>
    <row r="19" spans="1:3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  <c r="M19" s="11"/>
      <c r="N19" s="12"/>
      <c r="O19" s="12"/>
      <c r="P19" s="10"/>
      <c r="Q19" s="10"/>
      <c r="R19" s="10"/>
      <c r="S19" s="13">
        <f>SUM(Table3[[#This Row],[Female ( age less than 17)]:[Male ( More than 18)2]])</f>
        <v>0</v>
      </c>
      <c r="T19" s="10"/>
      <c r="U19" s="10"/>
      <c r="V19" s="10"/>
      <c r="W19" s="10"/>
      <c r="X19" s="10"/>
      <c r="Z19" s="1"/>
      <c r="AB19" s="1"/>
      <c r="AF19" s="1"/>
      <c r="AJ19" s="1"/>
      <c r="AL19" s="1"/>
    </row>
    <row r="20" spans="1:3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2"/>
      <c r="O20" s="12"/>
      <c r="P20" s="10"/>
      <c r="Q20" s="10"/>
      <c r="R20" s="10"/>
      <c r="S20" s="13">
        <f>SUM(Table3[[#This Row],[Female ( age less than 17)]:[Male ( More than 18)2]])</f>
        <v>0</v>
      </c>
      <c r="T20" s="10"/>
      <c r="U20" s="10"/>
      <c r="V20" s="10"/>
      <c r="W20" s="10"/>
      <c r="X20" s="10"/>
      <c r="Z20" s="1"/>
      <c r="AB20" s="1"/>
      <c r="AF20" s="1"/>
      <c r="AJ20" s="1"/>
      <c r="AL20" s="1"/>
    </row>
    <row r="21" spans="1:3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2"/>
      <c r="O21" s="12"/>
      <c r="P21" s="10"/>
      <c r="Q21" s="10"/>
      <c r="R21" s="10"/>
      <c r="S21" s="13">
        <f>SUM(Table3[[#This Row],[Female ( age less than 17)]:[Male ( More than 18)2]])</f>
        <v>0</v>
      </c>
      <c r="T21" s="10"/>
      <c r="U21" s="10"/>
      <c r="V21" s="10"/>
      <c r="W21" s="10"/>
      <c r="X21" s="10"/>
      <c r="Z21" s="1"/>
      <c r="AB21" s="1"/>
      <c r="AF21" s="1"/>
      <c r="AJ21" s="1"/>
      <c r="AL21" s="1"/>
    </row>
    <row r="22" spans="1:3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1"/>
      <c r="N22" s="12"/>
      <c r="O22" s="12"/>
      <c r="P22" s="10"/>
      <c r="Q22" s="10"/>
      <c r="R22" s="10"/>
      <c r="S22" s="13">
        <f>SUM(Table3[[#This Row],[Female ( age less than 17)]:[Male ( More than 18)2]])</f>
        <v>0</v>
      </c>
      <c r="T22" s="10"/>
      <c r="U22" s="10"/>
      <c r="V22" s="10"/>
      <c r="W22" s="10"/>
      <c r="X22" s="10"/>
      <c r="Z22" s="1"/>
      <c r="AB22" s="1"/>
      <c r="AF22" s="1"/>
      <c r="AJ22" s="1"/>
      <c r="AL22" s="1"/>
    </row>
    <row r="23" spans="1:3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2"/>
      <c r="O23" s="12"/>
      <c r="P23" s="10"/>
      <c r="Q23" s="10"/>
      <c r="R23" s="10"/>
      <c r="S23" s="13">
        <f>SUM(Table3[[#This Row],[Female ( age less than 17)]:[Male ( More than 18)2]])</f>
        <v>0</v>
      </c>
      <c r="T23" s="10"/>
      <c r="U23" s="10"/>
      <c r="V23" s="10"/>
      <c r="W23" s="10"/>
      <c r="X23" s="10"/>
      <c r="Z23" s="1"/>
      <c r="AB23" s="1"/>
      <c r="AF23" s="1"/>
      <c r="AJ23" s="1"/>
      <c r="AL23" s="1"/>
    </row>
    <row r="24" spans="1:3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12"/>
      <c r="O24" s="12"/>
      <c r="P24" s="10"/>
      <c r="Q24" s="10"/>
      <c r="R24" s="10"/>
      <c r="S24" s="13">
        <f>SUM(Table3[[#This Row],[Female ( age less than 17)]:[Male ( More than 18)2]])</f>
        <v>0</v>
      </c>
      <c r="T24" s="10"/>
      <c r="U24" s="10"/>
      <c r="V24" s="10"/>
      <c r="W24" s="10"/>
      <c r="X24" s="10"/>
      <c r="Z24" s="1"/>
      <c r="AB24" s="1"/>
      <c r="AF24" s="1"/>
      <c r="AJ24" s="1"/>
      <c r="AL24" s="1"/>
    </row>
    <row r="25" spans="1:3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2"/>
      <c r="O25" s="12"/>
      <c r="P25" s="10"/>
      <c r="Q25" s="10"/>
      <c r="R25" s="10"/>
      <c r="S25" s="13">
        <f>SUM(Table3[[#This Row],[Female ( age less than 17)]:[Male ( More than 18)2]])</f>
        <v>0</v>
      </c>
      <c r="T25" s="10"/>
      <c r="U25" s="10"/>
      <c r="V25" s="10"/>
      <c r="W25" s="10"/>
      <c r="X25" s="10"/>
      <c r="Z25" s="1"/>
      <c r="AB25" s="1"/>
      <c r="AF25" s="1"/>
      <c r="AJ25" s="1"/>
      <c r="AL25" s="1"/>
    </row>
    <row r="26" spans="1:3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1"/>
      <c r="N26" s="12"/>
      <c r="O26" s="12"/>
      <c r="P26" s="10"/>
      <c r="Q26" s="10"/>
      <c r="R26" s="10"/>
      <c r="S26" s="13">
        <f>SUM(Table3[[#This Row],[Female ( age less than 17)]:[Male ( More than 18)2]])</f>
        <v>0</v>
      </c>
      <c r="T26" s="10"/>
      <c r="U26" s="10"/>
      <c r="V26" s="10"/>
      <c r="W26" s="10"/>
      <c r="X26" s="10"/>
      <c r="Z26" s="1"/>
      <c r="AB26" s="1"/>
      <c r="AF26" s="1"/>
      <c r="AJ26" s="1"/>
      <c r="AL26" s="1"/>
    </row>
    <row r="27" spans="1:3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1"/>
      <c r="N27" s="12"/>
      <c r="O27" s="12"/>
      <c r="P27" s="10"/>
      <c r="Q27" s="10"/>
      <c r="R27" s="10"/>
      <c r="S27" s="13">
        <f>SUM(Table3[[#This Row],[Female ( age less than 17)]:[Male ( More than 18)2]])</f>
        <v>0</v>
      </c>
      <c r="T27" s="10"/>
      <c r="U27" s="10"/>
      <c r="V27" s="10"/>
      <c r="W27" s="10"/>
      <c r="X27" s="10"/>
      <c r="Z27" s="1"/>
      <c r="AB27" s="1"/>
      <c r="AF27" s="1"/>
      <c r="AJ27" s="1"/>
      <c r="AL27" s="1"/>
    </row>
    <row r="28" spans="1:3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1"/>
      <c r="N28" s="12"/>
      <c r="O28" s="12"/>
      <c r="P28" s="10"/>
      <c r="Q28" s="10"/>
      <c r="R28" s="10"/>
      <c r="S28" s="13">
        <f>SUM(Table3[[#This Row],[Female ( age less than 17)]:[Male ( More than 18)2]])</f>
        <v>0</v>
      </c>
      <c r="T28" s="10"/>
      <c r="U28" s="10"/>
      <c r="V28" s="10"/>
      <c r="W28" s="10"/>
      <c r="X28" s="10"/>
      <c r="Z28" s="1"/>
      <c r="AB28" s="1"/>
      <c r="AF28" s="1"/>
      <c r="AJ28" s="1"/>
      <c r="AL28" s="1"/>
    </row>
    <row r="29" spans="1:3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1"/>
      <c r="N29" s="12"/>
      <c r="O29" s="12"/>
      <c r="P29" s="10"/>
      <c r="Q29" s="10"/>
      <c r="R29" s="10"/>
      <c r="S29" s="13">
        <f>SUM(Table3[[#This Row],[Female ( age less than 17)]:[Male ( More than 18)2]])</f>
        <v>0</v>
      </c>
      <c r="T29" s="10"/>
      <c r="U29" s="10"/>
      <c r="V29" s="10"/>
      <c r="W29" s="10"/>
      <c r="X29" s="10"/>
      <c r="Z29" s="1"/>
      <c r="AB29" s="1"/>
      <c r="AF29" s="1"/>
      <c r="AJ29" s="1"/>
      <c r="AL29" s="1"/>
    </row>
    <row r="30" spans="1:3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1"/>
      <c r="N30" s="12"/>
      <c r="O30" s="12"/>
      <c r="P30" s="10"/>
      <c r="Q30" s="10"/>
      <c r="R30" s="10"/>
      <c r="S30" s="13">
        <f>SUM(Table3[[#This Row],[Female ( age less than 17)]:[Male ( More than 18)2]])</f>
        <v>0</v>
      </c>
      <c r="T30" s="10"/>
      <c r="U30" s="10"/>
      <c r="V30" s="10"/>
      <c r="W30" s="10"/>
      <c r="X30" s="10"/>
      <c r="Z30" s="1"/>
      <c r="AB30" s="1"/>
      <c r="AF30" s="1"/>
      <c r="AJ30" s="1"/>
      <c r="AL30" s="1"/>
    </row>
    <row r="31" spans="1:3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1"/>
      <c r="N31" s="12"/>
      <c r="O31" s="12"/>
      <c r="P31" s="10"/>
      <c r="Q31" s="10"/>
      <c r="R31" s="10"/>
      <c r="S31" s="13">
        <f>SUM(Table3[[#This Row],[Female ( age less than 17)]:[Male ( More than 18)2]])</f>
        <v>0</v>
      </c>
      <c r="T31" s="10"/>
      <c r="U31" s="10"/>
      <c r="V31" s="10"/>
      <c r="W31" s="10"/>
      <c r="X31" s="10"/>
      <c r="Z31" s="1"/>
      <c r="AB31" s="1"/>
      <c r="AF31" s="1"/>
      <c r="AJ31" s="1"/>
      <c r="AL31" s="1"/>
    </row>
    <row r="32" spans="1:3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1"/>
      <c r="N32" s="12"/>
      <c r="O32" s="12"/>
      <c r="P32" s="10"/>
      <c r="Q32" s="10"/>
      <c r="R32" s="10"/>
      <c r="S32" s="13">
        <f>SUM(Table3[[#This Row],[Female ( age less than 17)]:[Male ( More than 18)2]])</f>
        <v>0</v>
      </c>
      <c r="T32" s="10"/>
      <c r="U32" s="10"/>
      <c r="V32" s="10"/>
      <c r="W32" s="10"/>
      <c r="X32" s="10"/>
      <c r="Z32" s="1"/>
      <c r="AB32" s="1"/>
      <c r="AF32" s="1"/>
      <c r="AJ32" s="1"/>
      <c r="AL32" s="1"/>
    </row>
    <row r="33" spans="1:3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1"/>
      <c r="N33" s="12"/>
      <c r="O33" s="12"/>
      <c r="P33" s="10"/>
      <c r="Q33" s="10"/>
      <c r="R33" s="10"/>
      <c r="S33" s="13">
        <f>SUM(Table3[[#This Row],[Female ( age less than 17)]:[Male ( More than 18)2]])</f>
        <v>0</v>
      </c>
      <c r="T33" s="10"/>
      <c r="U33" s="10"/>
      <c r="V33" s="10"/>
      <c r="W33" s="10"/>
      <c r="X33" s="10"/>
      <c r="Z33" s="1"/>
      <c r="AB33" s="1"/>
      <c r="AF33" s="1"/>
      <c r="AJ33" s="1"/>
      <c r="AL33" s="1"/>
    </row>
    <row r="34" spans="1:3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1"/>
      <c r="N34" s="12"/>
      <c r="O34" s="12"/>
      <c r="P34" s="10"/>
      <c r="Q34" s="10"/>
      <c r="R34" s="10"/>
      <c r="S34" s="13">
        <f>SUM(Table3[[#This Row],[Female ( age less than 17)]:[Male ( More than 18)2]])</f>
        <v>0</v>
      </c>
      <c r="T34" s="10"/>
      <c r="U34" s="10"/>
      <c r="V34" s="10"/>
      <c r="W34" s="10"/>
      <c r="X34" s="10"/>
      <c r="Z34" s="1"/>
      <c r="AB34" s="1"/>
      <c r="AF34" s="1"/>
      <c r="AJ34" s="1"/>
      <c r="AL34" s="1"/>
    </row>
    <row r="35" spans="1:3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1"/>
      <c r="N35" s="12"/>
      <c r="O35" s="12"/>
      <c r="P35" s="10"/>
      <c r="Q35" s="10"/>
      <c r="R35" s="10"/>
      <c r="S35" s="13">
        <f>SUM(Table3[[#This Row],[Female ( age less than 17)]:[Male ( More than 18)2]])</f>
        <v>0</v>
      </c>
      <c r="T35" s="10"/>
      <c r="U35" s="10"/>
      <c r="V35" s="10"/>
      <c r="W35" s="10"/>
      <c r="X35" s="10"/>
      <c r="Z35" s="1"/>
      <c r="AB35" s="1"/>
      <c r="AF35" s="1"/>
      <c r="AJ35" s="1"/>
      <c r="AL35" s="1"/>
    </row>
    <row r="36" spans="1:3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1"/>
      <c r="N36" s="12"/>
      <c r="O36" s="12"/>
      <c r="P36" s="10"/>
      <c r="Q36" s="10"/>
      <c r="R36" s="10"/>
      <c r="S36" s="13">
        <f>SUM(Table3[[#This Row],[Female ( age less than 17)]:[Male ( More than 18)2]])</f>
        <v>0</v>
      </c>
      <c r="T36" s="10"/>
      <c r="U36" s="10"/>
      <c r="V36" s="10"/>
      <c r="W36" s="10"/>
      <c r="X36" s="10"/>
      <c r="Z36" s="1"/>
      <c r="AB36" s="1"/>
      <c r="AF36" s="1"/>
      <c r="AJ36" s="1"/>
      <c r="AL36" s="1"/>
    </row>
    <row r="37" spans="1:3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1"/>
      <c r="N37" s="12"/>
      <c r="O37" s="12"/>
      <c r="P37" s="10"/>
      <c r="Q37" s="10"/>
      <c r="R37" s="10"/>
      <c r="S37" s="13">
        <f>SUM(Table3[[#This Row],[Female ( age less than 17)]:[Male ( More than 18)2]])</f>
        <v>0</v>
      </c>
      <c r="T37" s="10"/>
      <c r="U37" s="10"/>
      <c r="V37" s="10"/>
      <c r="W37" s="10"/>
      <c r="X37" s="10"/>
      <c r="Z37" s="1"/>
      <c r="AB37" s="1"/>
      <c r="AF37" s="1"/>
      <c r="AJ37" s="1"/>
      <c r="AL37" s="1"/>
    </row>
    <row r="38" spans="1:3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1"/>
      <c r="N38" s="12"/>
      <c r="O38" s="12"/>
      <c r="P38" s="10"/>
      <c r="Q38" s="10"/>
      <c r="R38" s="10"/>
      <c r="S38" s="13">
        <f>SUM(Table3[[#This Row],[Female ( age less than 17)]:[Male ( More than 18)2]])</f>
        <v>0</v>
      </c>
      <c r="T38" s="10"/>
      <c r="U38" s="10"/>
      <c r="V38" s="10"/>
      <c r="W38" s="10"/>
      <c r="X38" s="10"/>
      <c r="Z38" s="1"/>
      <c r="AB38" s="1"/>
      <c r="AF38" s="1"/>
      <c r="AJ38" s="1"/>
      <c r="AL38" s="1"/>
    </row>
    <row r="39" spans="1:3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1"/>
      <c r="N39" s="12"/>
      <c r="O39" s="12"/>
      <c r="P39" s="10"/>
      <c r="Q39" s="10"/>
      <c r="R39" s="10"/>
      <c r="S39" s="13">
        <f>SUM(Table3[[#This Row],[Female ( age less than 17)]:[Male ( More than 18)2]])</f>
        <v>0</v>
      </c>
      <c r="T39" s="10"/>
      <c r="U39" s="10"/>
      <c r="V39" s="10"/>
      <c r="W39" s="10"/>
      <c r="X39" s="10"/>
      <c r="Z39" s="1"/>
      <c r="AB39" s="1"/>
      <c r="AF39" s="1"/>
      <c r="AJ39" s="1"/>
      <c r="AL39" s="1"/>
    </row>
    <row r="40" spans="1:3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1"/>
      <c r="N40" s="12"/>
      <c r="O40" s="12"/>
      <c r="P40" s="10"/>
      <c r="Q40" s="10"/>
      <c r="R40" s="10"/>
      <c r="S40" s="13">
        <f>SUM(Table3[[#This Row],[Female ( age less than 17)]:[Male ( More than 18)2]])</f>
        <v>0</v>
      </c>
      <c r="T40" s="10"/>
      <c r="U40" s="10"/>
      <c r="V40" s="10"/>
      <c r="W40" s="10"/>
      <c r="X40" s="10"/>
      <c r="Z40" s="1"/>
      <c r="AB40" s="1"/>
      <c r="AF40" s="1"/>
      <c r="AJ40" s="1"/>
      <c r="AL40" s="1"/>
    </row>
    <row r="41" spans="1:3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1"/>
      <c r="N41" s="12"/>
      <c r="O41" s="12"/>
      <c r="P41" s="10"/>
      <c r="Q41" s="10"/>
      <c r="R41" s="10"/>
      <c r="S41" s="13">
        <f>SUM(Table3[[#This Row],[Female ( age less than 17)]:[Male ( More than 18)2]])</f>
        <v>0</v>
      </c>
      <c r="T41" s="10"/>
      <c r="U41" s="10"/>
      <c r="V41" s="10"/>
      <c r="W41" s="10"/>
      <c r="X41" s="10"/>
      <c r="Z41" s="1"/>
      <c r="AB41" s="1"/>
      <c r="AF41" s="1"/>
      <c r="AJ41" s="1"/>
      <c r="AL41" s="1"/>
    </row>
    <row r="42" spans="1:3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1"/>
      <c r="N42" s="12"/>
      <c r="O42" s="12"/>
      <c r="P42" s="10"/>
      <c r="Q42" s="10"/>
      <c r="R42" s="10"/>
      <c r="S42" s="13">
        <f>SUM(Table3[[#This Row],[Female ( age less than 17)]:[Male ( More than 18)2]])</f>
        <v>0</v>
      </c>
      <c r="T42" s="10"/>
      <c r="U42" s="10"/>
      <c r="V42" s="10"/>
      <c r="W42" s="10"/>
      <c r="X42" s="10"/>
      <c r="Z42" s="1"/>
      <c r="AB42" s="1"/>
      <c r="AF42" s="1"/>
      <c r="AJ42" s="1"/>
      <c r="AL42" s="1"/>
    </row>
    <row r="43" spans="1:3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1"/>
      <c r="N43" s="12"/>
      <c r="O43" s="12"/>
      <c r="P43" s="10"/>
      <c r="Q43" s="10"/>
      <c r="R43" s="10"/>
      <c r="S43" s="13">
        <f>SUM(Table3[[#This Row],[Female ( age less than 17)]:[Male ( More than 18)2]])</f>
        <v>0</v>
      </c>
      <c r="T43" s="10"/>
      <c r="U43" s="10"/>
      <c r="V43" s="10"/>
      <c r="W43" s="10"/>
      <c r="X43" s="10"/>
      <c r="Z43" s="1"/>
      <c r="AB43" s="1"/>
      <c r="AF43" s="1"/>
      <c r="AJ43" s="1"/>
      <c r="AL43" s="1"/>
    </row>
    <row r="44" spans="1:3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1"/>
      <c r="N44" s="12"/>
      <c r="O44" s="12"/>
      <c r="P44" s="10"/>
      <c r="Q44" s="10"/>
      <c r="R44" s="10"/>
      <c r="S44" s="13">
        <f>SUM(Table3[[#This Row],[Female ( age less than 17)]:[Male ( More than 18)2]])</f>
        <v>0</v>
      </c>
      <c r="T44" s="10"/>
      <c r="U44" s="10"/>
      <c r="V44" s="10"/>
      <c r="W44" s="10"/>
      <c r="X44" s="10"/>
      <c r="Z44" s="1"/>
      <c r="AB44" s="1"/>
      <c r="AF44" s="1"/>
      <c r="AJ44" s="1"/>
      <c r="AL44" s="1"/>
    </row>
    <row r="45" spans="1:3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1"/>
      <c r="N45" s="12"/>
      <c r="O45" s="12"/>
      <c r="P45" s="10"/>
      <c r="Q45" s="10"/>
      <c r="R45" s="10"/>
      <c r="S45" s="13">
        <f>SUM(Table3[[#This Row],[Female ( age less than 17)]:[Male ( More than 18)2]])</f>
        <v>0</v>
      </c>
      <c r="T45" s="10"/>
      <c r="U45" s="10"/>
      <c r="V45" s="10"/>
      <c r="W45" s="10"/>
      <c r="X45" s="10"/>
      <c r="Z45" s="1"/>
      <c r="AB45" s="1"/>
      <c r="AF45" s="1"/>
      <c r="AJ45" s="1"/>
      <c r="AL45" s="1"/>
    </row>
    <row r="46" spans="1:3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1"/>
      <c r="N46" s="12"/>
      <c r="O46" s="12"/>
      <c r="P46" s="10"/>
      <c r="Q46" s="10"/>
      <c r="R46" s="10"/>
      <c r="S46" s="13">
        <f>SUM(Table3[[#This Row],[Female ( age less than 17)]:[Male ( More than 18)2]])</f>
        <v>0</v>
      </c>
      <c r="T46" s="10"/>
      <c r="U46" s="10"/>
      <c r="V46" s="10"/>
      <c r="W46" s="10"/>
      <c r="X46" s="10"/>
      <c r="Z46" s="1"/>
      <c r="AB46" s="1"/>
      <c r="AF46" s="1"/>
      <c r="AJ46" s="1"/>
      <c r="AL46" s="1"/>
    </row>
    <row r="47" spans="1:3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11"/>
      <c r="N47" s="12"/>
      <c r="O47" s="12"/>
      <c r="P47" s="10"/>
      <c r="Q47" s="10"/>
      <c r="R47" s="10"/>
      <c r="S47" s="13">
        <f>SUM(Table3[[#This Row],[Female ( age less than 17)]:[Male ( More than 18)2]])</f>
        <v>0</v>
      </c>
      <c r="T47" s="10"/>
      <c r="U47" s="10"/>
      <c r="V47" s="10"/>
      <c r="W47" s="10"/>
      <c r="X47" s="10"/>
      <c r="Z47" s="1"/>
      <c r="AB47" s="1"/>
      <c r="AF47" s="1"/>
      <c r="AJ47" s="1"/>
      <c r="AL47" s="1"/>
    </row>
    <row r="48" spans="1:3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  <c r="M48" s="11"/>
      <c r="N48" s="12"/>
      <c r="O48" s="12"/>
      <c r="P48" s="10"/>
      <c r="Q48" s="10"/>
      <c r="R48" s="10"/>
      <c r="S48" s="13">
        <f>SUM(Table3[[#This Row],[Female ( age less than 17)]:[Male ( More than 18)2]])</f>
        <v>0</v>
      </c>
      <c r="T48" s="10"/>
      <c r="U48" s="10"/>
      <c r="V48" s="10"/>
      <c r="W48" s="10"/>
      <c r="X48" s="10"/>
      <c r="Z48" s="1"/>
      <c r="AB48" s="1"/>
      <c r="AF48" s="1"/>
      <c r="AJ48" s="1"/>
      <c r="AL48" s="1"/>
    </row>
    <row r="49" spans="1:3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  <c r="M49" s="11"/>
      <c r="N49" s="12"/>
      <c r="O49" s="12"/>
      <c r="P49" s="10"/>
      <c r="Q49" s="10"/>
      <c r="R49" s="10"/>
      <c r="S49" s="13">
        <f>SUM(Table3[[#This Row],[Female ( age less than 17)]:[Male ( More than 18)2]])</f>
        <v>0</v>
      </c>
      <c r="T49" s="10"/>
      <c r="U49" s="10"/>
      <c r="V49" s="10"/>
      <c r="W49" s="10"/>
      <c r="X49" s="10"/>
      <c r="Z49" s="1"/>
      <c r="AB49" s="1"/>
      <c r="AF49" s="1"/>
      <c r="AJ49" s="1"/>
      <c r="AL49" s="1"/>
    </row>
    <row r="50" spans="1:3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  <c r="M50" s="11"/>
      <c r="N50" s="12"/>
      <c r="O50" s="12"/>
      <c r="P50" s="10"/>
      <c r="Q50" s="10"/>
      <c r="R50" s="10"/>
      <c r="S50" s="13">
        <f>SUM(Table3[[#This Row],[Female ( age less than 17)]:[Male ( More than 18)2]])</f>
        <v>0</v>
      </c>
      <c r="T50" s="10"/>
      <c r="U50" s="10"/>
      <c r="V50" s="10"/>
      <c r="W50" s="10"/>
      <c r="X50" s="10"/>
      <c r="Z50" s="1"/>
      <c r="AB50" s="1"/>
      <c r="AF50" s="1"/>
      <c r="AJ50" s="1"/>
      <c r="AL50" s="1"/>
    </row>
    <row r="51" spans="1:3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1"/>
      <c r="N51" s="12"/>
      <c r="O51" s="12"/>
      <c r="P51" s="10"/>
      <c r="Q51" s="10"/>
      <c r="R51" s="10"/>
      <c r="S51" s="13">
        <f>SUM(Table3[[#This Row],[Female ( age less than 17)]:[Male ( More than 18)2]])</f>
        <v>0</v>
      </c>
      <c r="T51" s="10"/>
      <c r="U51" s="10"/>
      <c r="V51" s="10"/>
      <c r="W51" s="10"/>
      <c r="X51" s="10"/>
      <c r="Z51" s="1"/>
      <c r="AB51" s="1"/>
      <c r="AF51" s="1"/>
      <c r="AJ51" s="1"/>
      <c r="AL51" s="1"/>
    </row>
    <row r="52" spans="1:3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1"/>
      <c r="N52" s="12"/>
      <c r="O52" s="12"/>
      <c r="P52" s="10"/>
      <c r="Q52" s="10"/>
      <c r="R52" s="10"/>
      <c r="S52" s="13">
        <f>SUM(Table3[[#This Row],[Female ( age less than 17)]:[Male ( More than 18)2]])</f>
        <v>0</v>
      </c>
      <c r="T52" s="10"/>
      <c r="U52" s="10"/>
      <c r="V52" s="10"/>
      <c r="W52" s="10"/>
      <c r="X52" s="10"/>
      <c r="Z52" s="1"/>
      <c r="AB52" s="1"/>
      <c r="AF52" s="1"/>
      <c r="AJ52" s="1"/>
      <c r="AL52" s="1"/>
    </row>
    <row r="53" spans="1:3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  <c r="M53" s="11"/>
      <c r="N53" s="12"/>
      <c r="O53" s="12"/>
      <c r="P53" s="10"/>
      <c r="Q53" s="10"/>
      <c r="R53" s="10"/>
      <c r="S53" s="13">
        <f>SUM(Table3[[#This Row],[Female ( age less than 17)]:[Male ( More than 18)2]])</f>
        <v>0</v>
      </c>
      <c r="T53" s="10"/>
      <c r="U53" s="10"/>
      <c r="V53" s="10"/>
      <c r="W53" s="10"/>
      <c r="X53" s="10"/>
      <c r="Z53" s="1"/>
      <c r="AB53" s="1"/>
      <c r="AF53" s="1"/>
      <c r="AJ53" s="1"/>
      <c r="AL53" s="1"/>
    </row>
    <row r="54" spans="1:3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  <c r="M54" s="11"/>
      <c r="N54" s="12"/>
      <c r="O54" s="12"/>
      <c r="P54" s="10"/>
      <c r="Q54" s="10"/>
      <c r="R54" s="10"/>
      <c r="S54" s="13">
        <f>SUM(Table3[[#This Row],[Female ( age less than 17)]:[Male ( More than 18)2]])</f>
        <v>0</v>
      </c>
      <c r="T54" s="10"/>
      <c r="U54" s="10"/>
      <c r="V54" s="10"/>
      <c r="W54" s="10"/>
      <c r="X54" s="10"/>
      <c r="Z54" s="1"/>
      <c r="AB54" s="1"/>
      <c r="AF54" s="1"/>
      <c r="AJ54" s="1"/>
      <c r="AL54" s="1"/>
    </row>
    <row r="55" spans="1:3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11"/>
      <c r="N55" s="12"/>
      <c r="O55" s="12"/>
      <c r="P55" s="10"/>
      <c r="Q55" s="10"/>
      <c r="R55" s="10"/>
      <c r="S55" s="13">
        <f>SUM(Table3[[#This Row],[Female ( age less than 17)]:[Male ( More than 18)2]])</f>
        <v>0</v>
      </c>
      <c r="T55" s="10"/>
      <c r="U55" s="10"/>
      <c r="V55" s="10"/>
      <c r="W55" s="10"/>
      <c r="X55" s="10"/>
      <c r="Z55" s="1"/>
      <c r="AB55" s="1"/>
      <c r="AF55" s="1"/>
      <c r="AJ55" s="1"/>
      <c r="AL55" s="1"/>
    </row>
    <row r="56" spans="1:3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  <c r="M56" s="11"/>
      <c r="N56" s="12"/>
      <c r="O56" s="12"/>
      <c r="P56" s="10"/>
      <c r="Q56" s="10"/>
      <c r="R56" s="10"/>
      <c r="S56" s="13">
        <f>SUM(Table3[[#This Row],[Female ( age less than 17)]:[Male ( More than 18)2]])</f>
        <v>0</v>
      </c>
      <c r="T56" s="10"/>
      <c r="U56" s="10"/>
      <c r="V56" s="10"/>
      <c r="W56" s="10"/>
      <c r="X56" s="10"/>
      <c r="Z56" s="1"/>
      <c r="AB56" s="1"/>
      <c r="AF56" s="1"/>
      <c r="AJ56" s="1"/>
      <c r="AL56" s="1"/>
    </row>
    <row r="57" spans="1:3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1"/>
      <c r="N57" s="12"/>
      <c r="O57" s="12"/>
      <c r="P57" s="10"/>
      <c r="Q57" s="10"/>
      <c r="R57" s="10"/>
      <c r="S57" s="13">
        <f>SUM(Table3[[#This Row],[Female ( age less than 17)]:[Male ( More than 18)2]])</f>
        <v>0</v>
      </c>
      <c r="T57" s="10"/>
      <c r="U57" s="10"/>
      <c r="V57" s="10"/>
      <c r="W57" s="10"/>
      <c r="X57" s="10"/>
      <c r="Z57" s="1"/>
      <c r="AB57" s="1"/>
      <c r="AF57" s="1"/>
      <c r="AJ57" s="1"/>
      <c r="AL57" s="1"/>
    </row>
    <row r="58" spans="1:3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  <c r="M58" s="11"/>
      <c r="N58" s="12"/>
      <c r="O58" s="12"/>
      <c r="P58" s="10"/>
      <c r="Q58" s="10"/>
      <c r="R58" s="10"/>
      <c r="S58" s="13">
        <f>SUM(Table3[[#This Row],[Female ( age less than 17)]:[Male ( More than 18)2]])</f>
        <v>0</v>
      </c>
      <c r="T58" s="10"/>
      <c r="U58" s="10"/>
      <c r="V58" s="10"/>
      <c r="W58" s="10"/>
      <c r="X58" s="10"/>
      <c r="Z58" s="1"/>
      <c r="AB58" s="1"/>
      <c r="AF58" s="1"/>
      <c r="AJ58" s="1"/>
      <c r="AL58" s="1"/>
    </row>
    <row r="59" spans="1:3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1"/>
      <c r="M59" s="11"/>
      <c r="N59" s="12"/>
      <c r="O59" s="12"/>
      <c r="P59" s="10"/>
      <c r="Q59" s="10"/>
      <c r="R59" s="10"/>
      <c r="S59" s="13">
        <f>SUM(Table3[[#This Row],[Female ( age less than 17)]:[Male ( More than 18)2]])</f>
        <v>0</v>
      </c>
      <c r="T59" s="10"/>
      <c r="U59" s="10"/>
      <c r="V59" s="10"/>
      <c r="W59" s="10"/>
      <c r="X59" s="10"/>
      <c r="Z59" s="1"/>
      <c r="AB59" s="1"/>
      <c r="AF59" s="1"/>
      <c r="AJ59" s="1"/>
      <c r="AL59" s="1"/>
    </row>
    <row r="60" spans="1:3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  <c r="M60" s="11"/>
      <c r="N60" s="12"/>
      <c r="O60" s="12"/>
      <c r="P60" s="10"/>
      <c r="Q60" s="10"/>
      <c r="R60" s="10"/>
      <c r="S60" s="13">
        <f>SUM(Table3[[#This Row],[Female ( age less than 17)]:[Male ( More than 18)2]])</f>
        <v>0</v>
      </c>
      <c r="T60" s="10"/>
      <c r="U60" s="10"/>
      <c r="V60" s="10"/>
      <c r="W60" s="10"/>
      <c r="X60" s="10"/>
      <c r="Z60" s="1"/>
      <c r="AB60" s="1"/>
      <c r="AF60" s="1"/>
      <c r="AJ60" s="1"/>
      <c r="AL60" s="1"/>
    </row>
    <row r="61" spans="1:3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1"/>
      <c r="N61" s="12"/>
      <c r="O61" s="12"/>
      <c r="P61" s="10"/>
      <c r="Q61" s="10"/>
      <c r="R61" s="10"/>
      <c r="S61" s="13">
        <f>SUM(Table3[[#This Row],[Female ( age less than 17)]:[Male ( More than 18)2]])</f>
        <v>0</v>
      </c>
      <c r="T61" s="10"/>
      <c r="U61" s="10"/>
      <c r="V61" s="10"/>
      <c r="W61" s="10"/>
      <c r="X61" s="10"/>
      <c r="Z61" s="1"/>
      <c r="AB61" s="1"/>
      <c r="AF61" s="1"/>
      <c r="AJ61" s="1"/>
      <c r="AL61" s="1"/>
    </row>
    <row r="62" spans="1:3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  <c r="M62" s="11"/>
      <c r="N62" s="12"/>
      <c r="O62" s="12"/>
      <c r="P62" s="10"/>
      <c r="Q62" s="10"/>
      <c r="R62" s="10"/>
      <c r="S62" s="13">
        <f>SUM(Table3[[#This Row],[Female ( age less than 17)]:[Male ( More than 18)2]])</f>
        <v>0</v>
      </c>
      <c r="T62" s="10"/>
      <c r="U62" s="10"/>
      <c r="V62" s="10"/>
      <c r="W62" s="10"/>
      <c r="X62" s="10"/>
      <c r="Z62" s="1"/>
      <c r="AB62" s="1"/>
      <c r="AF62" s="1"/>
      <c r="AJ62" s="1"/>
      <c r="AL62" s="1"/>
    </row>
    <row r="63" spans="1:3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  <c r="M63" s="11"/>
      <c r="N63" s="12"/>
      <c r="O63" s="12"/>
      <c r="P63" s="10"/>
      <c r="Q63" s="10"/>
      <c r="R63" s="10"/>
      <c r="S63" s="13">
        <f>SUM(Table3[[#This Row],[Female ( age less than 17)]:[Male ( More than 18)2]])</f>
        <v>0</v>
      </c>
      <c r="T63" s="10"/>
      <c r="U63" s="10"/>
      <c r="V63" s="10"/>
      <c r="W63" s="10"/>
      <c r="X63" s="10"/>
      <c r="Z63" s="1"/>
      <c r="AB63" s="1"/>
      <c r="AF63" s="1"/>
      <c r="AJ63" s="1"/>
      <c r="AL63" s="1"/>
    </row>
    <row r="64" spans="1:3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1"/>
      <c r="M64" s="11"/>
      <c r="N64" s="12"/>
      <c r="O64" s="12"/>
      <c r="P64" s="10"/>
      <c r="Q64" s="10"/>
      <c r="R64" s="10"/>
      <c r="S64" s="13">
        <f>SUM(Table3[[#This Row],[Female ( age less than 17)]:[Male ( More than 18)2]])</f>
        <v>0</v>
      </c>
      <c r="T64" s="10"/>
      <c r="U64" s="10"/>
      <c r="V64" s="10"/>
      <c r="W64" s="10"/>
      <c r="X64" s="10"/>
      <c r="Z64" s="1"/>
      <c r="AB64" s="1"/>
      <c r="AF64" s="1"/>
      <c r="AJ64" s="1"/>
      <c r="AL64" s="1"/>
    </row>
    <row r="65" spans="1:3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1"/>
      <c r="M65" s="11"/>
      <c r="N65" s="12"/>
      <c r="O65" s="12"/>
      <c r="P65" s="10"/>
      <c r="Q65" s="10"/>
      <c r="R65" s="10"/>
      <c r="S65" s="13">
        <f>SUM(Table3[[#This Row],[Female ( age less than 17)]:[Male ( More than 18)2]])</f>
        <v>0</v>
      </c>
      <c r="T65" s="10"/>
      <c r="U65" s="10"/>
      <c r="V65" s="10"/>
      <c r="W65" s="10"/>
      <c r="X65" s="10"/>
      <c r="Z65" s="1"/>
      <c r="AB65" s="1"/>
      <c r="AF65" s="1"/>
      <c r="AJ65" s="1"/>
      <c r="AL65" s="1"/>
    </row>
    <row r="66" spans="1:3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1"/>
      <c r="M66" s="11"/>
      <c r="N66" s="12"/>
      <c r="O66" s="12"/>
      <c r="P66" s="10"/>
      <c r="Q66" s="10"/>
      <c r="R66" s="10"/>
      <c r="S66" s="13">
        <f>SUM(Table3[[#This Row],[Female ( age less than 17)]:[Male ( More than 18)2]])</f>
        <v>0</v>
      </c>
      <c r="T66" s="10"/>
      <c r="U66" s="10"/>
      <c r="V66" s="10"/>
      <c r="W66" s="10"/>
      <c r="X66" s="10"/>
      <c r="Z66" s="1"/>
      <c r="AB66" s="1"/>
      <c r="AF66" s="1"/>
      <c r="AJ66" s="1"/>
      <c r="AL66" s="1"/>
    </row>
    <row r="67" spans="1:3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1"/>
      <c r="M67" s="11"/>
      <c r="N67" s="12"/>
      <c r="O67" s="12"/>
      <c r="P67" s="10"/>
      <c r="Q67" s="10"/>
      <c r="R67" s="10"/>
      <c r="S67" s="13">
        <f>SUM(Table3[[#This Row],[Female ( age less than 17)]:[Male ( More than 18)2]])</f>
        <v>0</v>
      </c>
      <c r="T67" s="10"/>
      <c r="U67" s="10"/>
      <c r="V67" s="10"/>
      <c r="W67" s="10"/>
      <c r="X67" s="10"/>
      <c r="Z67" s="1"/>
      <c r="AB67" s="1"/>
      <c r="AF67" s="1"/>
      <c r="AJ67" s="1"/>
      <c r="AL67" s="1"/>
    </row>
    <row r="68" spans="1:3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1"/>
      <c r="M68" s="11"/>
      <c r="N68" s="12"/>
      <c r="O68" s="12"/>
      <c r="P68" s="10"/>
      <c r="Q68" s="10"/>
      <c r="R68" s="10"/>
      <c r="S68" s="13">
        <f>SUM(Table3[[#This Row],[Female ( age less than 17)]:[Male ( More than 18)2]])</f>
        <v>0</v>
      </c>
      <c r="T68" s="10"/>
      <c r="U68" s="10"/>
      <c r="V68" s="10"/>
      <c r="W68" s="10"/>
      <c r="X68" s="10"/>
      <c r="Z68" s="1"/>
      <c r="AB68" s="1"/>
      <c r="AF68" s="1"/>
      <c r="AJ68" s="1"/>
      <c r="AL68" s="1"/>
    </row>
    <row r="69" spans="1:3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1"/>
      <c r="M69" s="11"/>
      <c r="N69" s="12"/>
      <c r="O69" s="12"/>
      <c r="P69" s="10"/>
      <c r="Q69" s="10"/>
      <c r="R69" s="10"/>
      <c r="S69" s="13">
        <f>SUM(Table3[[#This Row],[Female ( age less than 17)]:[Male ( More than 18)2]])</f>
        <v>0</v>
      </c>
      <c r="T69" s="10"/>
      <c r="U69" s="10"/>
      <c r="V69" s="10"/>
      <c r="W69" s="10"/>
      <c r="X69" s="10"/>
      <c r="Z69" s="1"/>
      <c r="AB69" s="1"/>
      <c r="AF69" s="1"/>
      <c r="AJ69" s="1"/>
      <c r="AL69" s="1"/>
    </row>
    <row r="70" spans="1:3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1"/>
      <c r="M70" s="11"/>
      <c r="N70" s="12"/>
      <c r="O70" s="12"/>
      <c r="P70" s="10"/>
      <c r="Q70" s="10"/>
      <c r="R70" s="10"/>
      <c r="S70" s="13">
        <f>SUM(Table3[[#This Row],[Female ( age less than 17)]:[Male ( More than 18)2]])</f>
        <v>0</v>
      </c>
      <c r="T70" s="10"/>
      <c r="U70" s="10"/>
      <c r="V70" s="10"/>
      <c r="W70" s="10"/>
      <c r="X70" s="10"/>
      <c r="Z70" s="1"/>
      <c r="AB70" s="1"/>
      <c r="AF70" s="1"/>
      <c r="AJ70" s="1"/>
      <c r="AL70" s="1"/>
    </row>
    <row r="71" spans="1:3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1"/>
      <c r="M71" s="11"/>
      <c r="N71" s="12"/>
      <c r="O71" s="12"/>
      <c r="P71" s="10"/>
      <c r="Q71" s="10"/>
      <c r="R71" s="10"/>
      <c r="S71" s="13">
        <f>SUM(Table3[[#This Row],[Female ( age less than 17)]:[Male ( More than 18)2]])</f>
        <v>0</v>
      </c>
      <c r="T71" s="10"/>
      <c r="U71" s="10"/>
      <c r="V71" s="10"/>
      <c r="W71" s="10"/>
      <c r="X71" s="10"/>
      <c r="Z71" s="1"/>
      <c r="AB71" s="1"/>
      <c r="AF71" s="1"/>
      <c r="AJ71" s="1"/>
      <c r="AL71" s="1"/>
    </row>
    <row r="72" spans="1:3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1"/>
      <c r="M72" s="11"/>
      <c r="N72" s="12"/>
      <c r="O72" s="12"/>
      <c r="P72" s="10"/>
      <c r="Q72" s="10"/>
      <c r="R72" s="10"/>
      <c r="S72" s="13">
        <f>SUM(Table3[[#This Row],[Female ( age less than 17)]:[Male ( More than 18)2]])</f>
        <v>0</v>
      </c>
      <c r="T72" s="10"/>
      <c r="U72" s="10"/>
      <c r="V72" s="10"/>
      <c r="W72" s="10"/>
      <c r="X72" s="10"/>
      <c r="Z72" s="1"/>
      <c r="AB72" s="1"/>
      <c r="AF72" s="1"/>
      <c r="AJ72" s="1"/>
      <c r="AL72" s="1"/>
    </row>
    <row r="73" spans="1:3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1"/>
      <c r="M73" s="11"/>
      <c r="N73" s="12"/>
      <c r="O73" s="12"/>
      <c r="P73" s="10"/>
      <c r="Q73" s="10"/>
      <c r="R73" s="10"/>
      <c r="S73" s="13">
        <f>SUM(Table3[[#This Row],[Female ( age less than 17)]:[Male ( More than 18)2]])</f>
        <v>0</v>
      </c>
      <c r="T73" s="10"/>
      <c r="U73" s="10"/>
      <c r="V73" s="10"/>
      <c r="W73" s="10"/>
      <c r="X73" s="10"/>
      <c r="Z73" s="1"/>
      <c r="AB73" s="1"/>
      <c r="AF73" s="1"/>
      <c r="AJ73" s="1"/>
      <c r="AL73" s="1"/>
    </row>
    <row r="74" spans="1:3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1"/>
      <c r="M74" s="11"/>
      <c r="N74" s="12"/>
      <c r="O74" s="12"/>
      <c r="P74" s="10"/>
      <c r="Q74" s="10"/>
      <c r="R74" s="10"/>
      <c r="S74" s="13">
        <f>SUM(Table3[[#This Row],[Female ( age less than 17)]:[Male ( More than 18)2]])</f>
        <v>0</v>
      </c>
      <c r="T74" s="10"/>
      <c r="U74" s="10"/>
      <c r="V74" s="10"/>
      <c r="W74" s="10"/>
      <c r="X74" s="10"/>
      <c r="Z74" s="1"/>
      <c r="AB74" s="1"/>
      <c r="AF74" s="1"/>
      <c r="AJ74" s="1"/>
      <c r="AL74" s="1"/>
    </row>
    <row r="75" spans="1:3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1"/>
      <c r="M75" s="11"/>
      <c r="N75" s="12"/>
      <c r="O75" s="12"/>
      <c r="P75" s="10"/>
      <c r="Q75" s="10"/>
      <c r="R75" s="10"/>
      <c r="S75" s="13">
        <f>SUM(Table3[[#This Row],[Female ( age less than 17)]:[Male ( More than 18)2]])</f>
        <v>0</v>
      </c>
      <c r="T75" s="10"/>
      <c r="U75" s="10"/>
      <c r="V75" s="10"/>
      <c r="W75" s="10"/>
      <c r="X75" s="10"/>
      <c r="Z75" s="1"/>
      <c r="AB75" s="1"/>
      <c r="AF75" s="1"/>
      <c r="AJ75" s="1"/>
      <c r="AL75" s="1"/>
    </row>
    <row r="76" spans="1:3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1"/>
      <c r="M76" s="11"/>
      <c r="N76" s="12"/>
      <c r="O76" s="12"/>
      <c r="P76" s="10"/>
      <c r="Q76" s="10"/>
      <c r="R76" s="10"/>
      <c r="S76" s="13">
        <f>SUM(Table3[[#This Row],[Female ( age less than 17)]:[Male ( More than 18)2]])</f>
        <v>0</v>
      </c>
      <c r="T76" s="10"/>
      <c r="U76" s="10"/>
      <c r="V76" s="10"/>
      <c r="W76" s="10"/>
      <c r="X76" s="10"/>
      <c r="Z76" s="1"/>
      <c r="AB76" s="1"/>
      <c r="AF76" s="1"/>
      <c r="AJ76" s="1"/>
      <c r="AL76" s="1"/>
    </row>
    <row r="77" spans="1:3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1"/>
      <c r="N77" s="12"/>
      <c r="O77" s="12"/>
      <c r="P77" s="10"/>
      <c r="Q77" s="10"/>
      <c r="R77" s="10"/>
      <c r="S77" s="13">
        <f>SUM(Table3[[#This Row],[Female ( age less than 17)]:[Male ( More than 18)2]])</f>
        <v>0</v>
      </c>
      <c r="T77" s="10"/>
      <c r="U77" s="10"/>
      <c r="V77" s="10"/>
      <c r="W77" s="10"/>
      <c r="X77" s="10"/>
      <c r="Z77" s="1"/>
      <c r="AB77" s="1"/>
      <c r="AF77" s="1"/>
      <c r="AJ77" s="1"/>
      <c r="AL77" s="1"/>
    </row>
    <row r="78" spans="1:3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1"/>
      <c r="M78" s="11"/>
      <c r="N78" s="12"/>
      <c r="O78" s="12"/>
      <c r="P78" s="10"/>
      <c r="Q78" s="10"/>
      <c r="R78" s="10"/>
      <c r="S78" s="13">
        <f>SUM(Table3[[#This Row],[Female ( age less than 17)]:[Male ( More than 18)2]])</f>
        <v>0</v>
      </c>
      <c r="T78" s="10"/>
      <c r="U78" s="10"/>
      <c r="V78" s="10"/>
      <c r="W78" s="10"/>
      <c r="X78" s="10"/>
      <c r="Z78" s="1"/>
      <c r="AB78" s="1"/>
      <c r="AF78" s="1"/>
      <c r="AJ78" s="1"/>
      <c r="AL78" s="1"/>
    </row>
    <row r="79" spans="1:3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1"/>
      <c r="N79" s="12"/>
      <c r="O79" s="12"/>
      <c r="P79" s="10"/>
      <c r="Q79" s="10"/>
      <c r="R79" s="10"/>
      <c r="S79" s="13">
        <f>SUM(Table3[[#This Row],[Female ( age less than 17)]:[Male ( More than 18)2]])</f>
        <v>0</v>
      </c>
      <c r="T79" s="10"/>
      <c r="U79" s="10"/>
      <c r="V79" s="10"/>
      <c r="W79" s="10"/>
      <c r="X79" s="10"/>
      <c r="Z79" s="1"/>
      <c r="AB79" s="1"/>
      <c r="AF79" s="1"/>
      <c r="AJ79" s="1"/>
      <c r="AL79" s="1"/>
    </row>
    <row r="80" spans="1:3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1"/>
      <c r="M80" s="11"/>
      <c r="N80" s="12"/>
      <c r="O80" s="12"/>
      <c r="P80" s="10"/>
      <c r="Q80" s="10"/>
      <c r="R80" s="10"/>
      <c r="S80" s="13">
        <f>SUM(Table3[[#This Row],[Female ( age less than 17)]:[Male ( More than 18)2]])</f>
        <v>0</v>
      </c>
      <c r="T80" s="10"/>
      <c r="U80" s="10"/>
      <c r="V80" s="10"/>
      <c r="W80" s="10"/>
      <c r="X80" s="10"/>
      <c r="Z80" s="1"/>
      <c r="AB80" s="1"/>
      <c r="AF80" s="1"/>
      <c r="AJ80" s="1"/>
      <c r="AL80" s="1"/>
    </row>
    <row r="81" spans="1:3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1"/>
      <c r="M81" s="11"/>
      <c r="N81" s="12"/>
      <c r="O81" s="12"/>
      <c r="P81" s="10"/>
      <c r="Q81" s="10"/>
      <c r="R81" s="10"/>
      <c r="S81" s="13">
        <f>SUM(Table3[[#This Row],[Female ( age less than 17)]:[Male ( More than 18)2]])</f>
        <v>0</v>
      </c>
      <c r="T81" s="10"/>
      <c r="U81" s="10"/>
      <c r="V81" s="10"/>
      <c r="W81" s="10"/>
      <c r="X81" s="10"/>
      <c r="Z81" s="1"/>
      <c r="AB81" s="1"/>
      <c r="AF81" s="1"/>
      <c r="AJ81" s="1"/>
      <c r="AL81" s="1"/>
    </row>
    <row r="82" spans="1:3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1"/>
      <c r="M82" s="11"/>
      <c r="N82" s="12"/>
      <c r="O82" s="12"/>
      <c r="P82" s="10"/>
      <c r="Q82" s="10"/>
      <c r="R82" s="10"/>
      <c r="S82" s="13">
        <f>SUM(Table3[[#This Row],[Female ( age less than 17)]:[Male ( More than 18)2]])</f>
        <v>0</v>
      </c>
      <c r="T82" s="10"/>
      <c r="U82" s="10"/>
      <c r="V82" s="10"/>
      <c r="W82" s="10"/>
      <c r="X82" s="10"/>
      <c r="Z82" s="1"/>
      <c r="AB82" s="1"/>
      <c r="AF82" s="1"/>
      <c r="AJ82" s="1"/>
      <c r="AL82" s="1"/>
    </row>
    <row r="83" spans="1:3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1"/>
      <c r="M83" s="11"/>
      <c r="N83" s="12"/>
      <c r="O83" s="12"/>
      <c r="P83" s="10"/>
      <c r="Q83" s="10"/>
      <c r="R83" s="10"/>
      <c r="S83" s="13">
        <f>SUM(Table3[[#This Row],[Female ( age less than 17)]:[Male ( More than 18)2]])</f>
        <v>0</v>
      </c>
      <c r="T83" s="10"/>
      <c r="U83" s="10"/>
      <c r="V83" s="10"/>
      <c r="W83" s="10"/>
      <c r="X83" s="10"/>
      <c r="Z83" s="1"/>
      <c r="AB83" s="1"/>
      <c r="AF83" s="1"/>
      <c r="AJ83" s="1"/>
      <c r="AL83" s="1"/>
    </row>
    <row r="84" spans="1:3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1"/>
      <c r="M84" s="11"/>
      <c r="N84" s="12"/>
      <c r="O84" s="12"/>
      <c r="P84" s="10"/>
      <c r="Q84" s="10"/>
      <c r="R84" s="10"/>
      <c r="S84" s="13">
        <f>SUM(Table3[[#This Row],[Female ( age less than 17)]:[Male ( More than 18)2]])</f>
        <v>0</v>
      </c>
      <c r="T84" s="10"/>
      <c r="U84" s="10"/>
      <c r="V84" s="10"/>
      <c r="W84" s="10"/>
      <c r="X84" s="10"/>
      <c r="Z84" s="1"/>
      <c r="AB84" s="1"/>
      <c r="AF84" s="1"/>
      <c r="AJ84" s="1"/>
      <c r="AL84" s="1"/>
    </row>
    <row r="85" spans="1:3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1"/>
      <c r="M85" s="11"/>
      <c r="N85" s="12"/>
      <c r="O85" s="12"/>
      <c r="P85" s="10"/>
      <c r="Q85" s="10"/>
      <c r="R85" s="10"/>
      <c r="S85" s="13">
        <f>SUM(Table3[[#This Row],[Female ( age less than 17)]:[Male ( More than 18)2]])</f>
        <v>0</v>
      </c>
      <c r="T85" s="10"/>
      <c r="U85" s="10"/>
      <c r="V85" s="10"/>
      <c r="W85" s="10"/>
      <c r="X85" s="10"/>
      <c r="Z85" s="1"/>
      <c r="AB85" s="1"/>
      <c r="AF85" s="1"/>
      <c r="AJ85" s="1"/>
      <c r="AL85" s="1"/>
    </row>
    <row r="86" spans="1:3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1"/>
      <c r="M86" s="11"/>
      <c r="N86" s="12"/>
      <c r="O86" s="12"/>
      <c r="P86" s="10"/>
      <c r="Q86" s="10"/>
      <c r="R86" s="10"/>
      <c r="S86" s="13">
        <f>SUM(Table3[[#This Row],[Female ( age less than 17)]:[Male ( More than 18)2]])</f>
        <v>0</v>
      </c>
      <c r="T86" s="10"/>
      <c r="U86" s="10"/>
      <c r="V86" s="10"/>
      <c r="W86" s="10"/>
      <c r="X86" s="10"/>
      <c r="Z86" s="1"/>
      <c r="AB86" s="1"/>
      <c r="AF86" s="1"/>
      <c r="AJ86" s="1"/>
      <c r="AL86" s="1"/>
    </row>
    <row r="87" spans="1:3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1"/>
      <c r="M87" s="11"/>
      <c r="N87" s="12"/>
      <c r="O87" s="12"/>
      <c r="P87" s="10"/>
      <c r="Q87" s="10"/>
      <c r="R87" s="10"/>
      <c r="S87" s="13">
        <f>SUM(Table3[[#This Row],[Female ( age less than 17)]:[Male ( More than 18)2]])</f>
        <v>0</v>
      </c>
      <c r="T87" s="10"/>
      <c r="U87" s="10"/>
      <c r="V87" s="10"/>
      <c r="W87" s="10"/>
      <c r="X87" s="10"/>
      <c r="Z87" s="1"/>
      <c r="AB87" s="1"/>
      <c r="AF87" s="1"/>
      <c r="AJ87" s="1"/>
      <c r="AL87" s="1"/>
    </row>
    <row r="88" spans="1:3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1"/>
      <c r="M88" s="11"/>
      <c r="N88" s="12"/>
      <c r="O88" s="12"/>
      <c r="P88" s="10"/>
      <c r="Q88" s="10"/>
      <c r="R88" s="10"/>
      <c r="S88" s="13">
        <f>SUM(Table3[[#This Row],[Female ( age less than 17)]:[Male ( More than 18)2]])</f>
        <v>0</v>
      </c>
      <c r="T88" s="10"/>
      <c r="U88" s="10"/>
      <c r="V88" s="10"/>
      <c r="W88" s="10"/>
      <c r="X88" s="10"/>
      <c r="Z88" s="1"/>
      <c r="AB88" s="1"/>
      <c r="AF88" s="1"/>
      <c r="AJ88" s="1"/>
      <c r="AL88" s="1"/>
    </row>
    <row r="89" spans="1:3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1"/>
      <c r="M89" s="11"/>
      <c r="N89" s="12"/>
      <c r="O89" s="12"/>
      <c r="P89" s="10"/>
      <c r="Q89" s="10"/>
      <c r="R89" s="10"/>
      <c r="S89" s="13">
        <f>SUM(Table3[[#This Row],[Female ( age less than 17)]:[Male ( More than 18)2]])</f>
        <v>0</v>
      </c>
      <c r="T89" s="10"/>
      <c r="U89" s="10"/>
      <c r="V89" s="10"/>
      <c r="W89" s="10"/>
      <c r="X89" s="10"/>
      <c r="Z89" s="1"/>
      <c r="AB89" s="1"/>
      <c r="AF89" s="1"/>
      <c r="AJ89" s="1"/>
      <c r="AL89" s="1"/>
    </row>
    <row r="90" spans="1:3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1"/>
      <c r="N90" s="12"/>
      <c r="O90" s="12"/>
      <c r="P90" s="10"/>
      <c r="Q90" s="10"/>
      <c r="R90" s="10"/>
      <c r="S90" s="13">
        <f>SUM(Table3[[#This Row],[Female ( age less than 17)]:[Male ( More than 18)2]])</f>
        <v>0</v>
      </c>
      <c r="T90" s="10"/>
      <c r="U90" s="10"/>
      <c r="V90" s="10"/>
      <c r="W90" s="10"/>
      <c r="X90" s="10"/>
      <c r="Z90" s="1"/>
      <c r="AB90" s="1"/>
      <c r="AF90" s="1"/>
      <c r="AJ90" s="1"/>
      <c r="AL90" s="1"/>
    </row>
    <row r="91" spans="1:3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1"/>
      <c r="M91" s="11"/>
      <c r="N91" s="12"/>
      <c r="O91" s="12"/>
      <c r="P91" s="10"/>
      <c r="Q91" s="10"/>
      <c r="R91" s="10"/>
      <c r="S91" s="13">
        <f>SUM(Table3[[#This Row],[Female ( age less than 17)]:[Male ( More than 18)2]])</f>
        <v>0</v>
      </c>
      <c r="T91" s="10"/>
      <c r="U91" s="10"/>
      <c r="V91" s="10"/>
      <c r="W91" s="10"/>
      <c r="X91" s="10"/>
      <c r="Z91" s="1"/>
      <c r="AB91" s="1"/>
      <c r="AF91" s="1"/>
      <c r="AJ91" s="1"/>
      <c r="AL91" s="1"/>
    </row>
    <row r="92" spans="1:3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1"/>
      <c r="M92" s="11"/>
      <c r="N92" s="12"/>
      <c r="O92" s="12"/>
      <c r="P92" s="10"/>
      <c r="Q92" s="10"/>
      <c r="R92" s="10"/>
      <c r="S92" s="13">
        <f>SUM(Table3[[#This Row],[Female ( age less than 17)]:[Male ( More than 18)2]])</f>
        <v>0</v>
      </c>
      <c r="T92" s="10"/>
      <c r="U92" s="10"/>
      <c r="V92" s="10"/>
      <c r="W92" s="10"/>
      <c r="X92" s="10"/>
      <c r="Z92" s="1"/>
      <c r="AB92" s="1"/>
      <c r="AF92" s="1"/>
      <c r="AJ92" s="1"/>
      <c r="AL92" s="1"/>
    </row>
    <row r="93" spans="1:3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1"/>
      <c r="M93" s="11"/>
      <c r="N93" s="12"/>
      <c r="O93" s="12"/>
      <c r="P93" s="10"/>
      <c r="Q93" s="10"/>
      <c r="R93" s="10"/>
      <c r="S93" s="13">
        <f>SUM(Table3[[#This Row],[Female ( age less than 17)]:[Male ( More than 18)2]])</f>
        <v>0</v>
      </c>
      <c r="T93" s="10"/>
      <c r="U93" s="10"/>
      <c r="V93" s="10"/>
      <c r="W93" s="10"/>
      <c r="X93" s="10"/>
      <c r="Z93" s="1"/>
      <c r="AB93" s="1"/>
      <c r="AF93" s="1"/>
      <c r="AJ93" s="1"/>
      <c r="AL93" s="1"/>
    </row>
    <row r="94" spans="1:3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1"/>
      <c r="M94" s="11"/>
      <c r="N94" s="12"/>
      <c r="O94" s="12"/>
      <c r="P94" s="10"/>
      <c r="Q94" s="10"/>
      <c r="R94" s="10"/>
      <c r="S94" s="13">
        <f>SUM(Table3[[#This Row],[Female ( age less than 17)]:[Male ( More than 18)2]])</f>
        <v>0</v>
      </c>
      <c r="T94" s="10"/>
      <c r="U94" s="10"/>
      <c r="V94" s="10"/>
      <c r="W94" s="10"/>
      <c r="X94" s="10"/>
      <c r="Z94" s="1"/>
      <c r="AB94" s="1"/>
      <c r="AF94" s="1"/>
      <c r="AJ94" s="1"/>
      <c r="AL94" s="1"/>
    </row>
    <row r="95" spans="1:3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1"/>
      <c r="M95" s="11"/>
      <c r="N95" s="12"/>
      <c r="O95" s="12"/>
      <c r="P95" s="10"/>
      <c r="Q95" s="10"/>
      <c r="R95" s="10"/>
      <c r="S95" s="13">
        <f>SUM(Table3[[#This Row],[Female ( age less than 17)]:[Male ( More than 18)2]])</f>
        <v>0</v>
      </c>
      <c r="T95" s="10"/>
      <c r="U95" s="10"/>
      <c r="V95" s="10"/>
      <c r="W95" s="10"/>
      <c r="X95" s="10"/>
      <c r="Z95" s="1"/>
      <c r="AB95" s="1"/>
      <c r="AF95" s="1"/>
      <c r="AJ95" s="1"/>
      <c r="AL95" s="1"/>
    </row>
    <row r="96" spans="1:3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1"/>
      <c r="M96" s="11"/>
      <c r="N96" s="12"/>
      <c r="O96" s="12"/>
      <c r="P96" s="10"/>
      <c r="Q96" s="10"/>
      <c r="R96" s="10"/>
      <c r="S96" s="13">
        <f>SUM(Table3[[#This Row],[Female ( age less than 17)]:[Male ( More than 18)2]])</f>
        <v>0</v>
      </c>
      <c r="T96" s="10"/>
      <c r="U96" s="10"/>
      <c r="V96" s="10"/>
      <c r="W96" s="10"/>
      <c r="X96" s="10"/>
      <c r="Z96" s="1"/>
      <c r="AB96" s="1"/>
      <c r="AF96" s="1"/>
      <c r="AJ96" s="1"/>
      <c r="AL96" s="1"/>
    </row>
    <row r="97" spans="1:3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1"/>
      <c r="M97" s="11"/>
      <c r="N97" s="12"/>
      <c r="O97" s="12"/>
      <c r="P97" s="10"/>
      <c r="Q97" s="10"/>
      <c r="R97" s="10"/>
      <c r="S97" s="13">
        <f>SUM(Table3[[#This Row],[Female ( age less than 17)]:[Male ( More than 18)2]])</f>
        <v>0</v>
      </c>
      <c r="T97" s="10"/>
      <c r="U97" s="10"/>
      <c r="V97" s="10"/>
      <c r="W97" s="10"/>
      <c r="X97" s="10"/>
      <c r="Z97" s="1"/>
      <c r="AB97" s="1"/>
      <c r="AF97" s="1"/>
      <c r="AJ97" s="1"/>
      <c r="AL97" s="1"/>
    </row>
    <row r="98" spans="1:3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1"/>
      <c r="M98" s="11"/>
      <c r="N98" s="12"/>
      <c r="O98" s="12"/>
      <c r="P98" s="10"/>
      <c r="Q98" s="10"/>
      <c r="R98" s="10"/>
      <c r="S98" s="13">
        <f>SUM(Table3[[#This Row],[Female ( age less than 17)]:[Male ( More than 18)2]])</f>
        <v>0</v>
      </c>
      <c r="T98" s="10"/>
      <c r="U98" s="10"/>
      <c r="V98" s="10"/>
      <c r="W98" s="10"/>
      <c r="X98" s="10"/>
      <c r="Z98" s="1"/>
      <c r="AB98" s="1"/>
      <c r="AF98" s="1"/>
      <c r="AJ98" s="1"/>
      <c r="AL98" s="1"/>
    </row>
    <row r="99" spans="1:3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1"/>
      <c r="M99" s="11"/>
      <c r="N99" s="12"/>
      <c r="O99" s="12"/>
      <c r="P99" s="10"/>
      <c r="Q99" s="10"/>
      <c r="R99" s="10"/>
      <c r="S99" s="13">
        <f>SUM(Table3[[#This Row],[Female ( age less than 17)]:[Male ( More than 18)2]])</f>
        <v>0</v>
      </c>
      <c r="T99" s="10"/>
      <c r="U99" s="10"/>
      <c r="V99" s="10"/>
      <c r="W99" s="10"/>
      <c r="X99" s="10"/>
      <c r="Z99" s="1"/>
      <c r="AB99" s="1"/>
      <c r="AF99" s="1"/>
      <c r="AJ99" s="1"/>
      <c r="AL99" s="1"/>
    </row>
    <row r="100" spans="1:3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1"/>
      <c r="M100" s="11"/>
      <c r="N100" s="12"/>
      <c r="O100" s="12"/>
      <c r="P100" s="10"/>
      <c r="Q100" s="10"/>
      <c r="R100" s="10"/>
      <c r="S100" s="13">
        <f>SUM(Table3[[#This Row],[Female ( age less than 17)]:[Male ( More than 18)2]])</f>
        <v>0</v>
      </c>
      <c r="T100" s="10"/>
      <c r="U100" s="10"/>
      <c r="V100" s="10"/>
      <c r="W100" s="10"/>
      <c r="X100" s="10"/>
      <c r="Z100" s="1"/>
      <c r="AB100" s="1"/>
      <c r="AF100" s="1"/>
      <c r="AJ100" s="1"/>
      <c r="AL100" s="1"/>
    </row>
    <row r="101" spans="1:3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1"/>
      <c r="M101" s="11"/>
      <c r="N101" s="12"/>
      <c r="O101" s="12"/>
      <c r="P101" s="10"/>
      <c r="Q101" s="10"/>
      <c r="R101" s="10"/>
      <c r="S101" s="13">
        <f>SUM(Table3[[#This Row],[Female ( age less than 17)]:[Male ( More than 18)2]])</f>
        <v>0</v>
      </c>
      <c r="T101" s="10"/>
      <c r="U101" s="10"/>
      <c r="V101" s="10"/>
      <c r="W101" s="10"/>
      <c r="X101" s="10"/>
      <c r="Z101" s="1"/>
      <c r="AB101" s="1"/>
      <c r="AF101" s="1"/>
      <c r="AJ101" s="1"/>
      <c r="AL101" s="1"/>
    </row>
    <row r="102" spans="1:3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1"/>
      <c r="M102" s="11"/>
      <c r="N102" s="12"/>
      <c r="O102" s="12"/>
      <c r="P102" s="10"/>
      <c r="Q102" s="10"/>
      <c r="R102" s="10"/>
      <c r="S102" s="13">
        <f>SUM(Table3[[#This Row],[Female ( age less than 17)]:[Male ( More than 18)2]])</f>
        <v>0</v>
      </c>
      <c r="T102" s="10"/>
      <c r="U102" s="10"/>
      <c r="V102" s="10"/>
      <c r="W102" s="10"/>
      <c r="X102" s="10"/>
      <c r="Z102" s="1"/>
      <c r="AB102" s="1"/>
      <c r="AF102" s="1"/>
      <c r="AJ102" s="1"/>
      <c r="AL102" s="1"/>
    </row>
    <row r="103" spans="1:3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1"/>
      <c r="M103" s="11"/>
      <c r="N103" s="12"/>
      <c r="O103" s="12"/>
      <c r="P103" s="10"/>
      <c r="Q103" s="10"/>
      <c r="R103" s="10"/>
      <c r="S103" s="13">
        <f>SUM(Table3[[#This Row],[Female ( age less than 17)]:[Male ( More than 18)2]])</f>
        <v>0</v>
      </c>
      <c r="T103" s="10"/>
      <c r="U103" s="10"/>
      <c r="V103" s="10"/>
      <c r="W103" s="10"/>
      <c r="X103" s="10"/>
      <c r="Z103" s="1"/>
      <c r="AB103" s="1"/>
      <c r="AF103" s="1"/>
      <c r="AJ103" s="1"/>
      <c r="AL103" s="1"/>
    </row>
    <row r="104" spans="1:3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1"/>
      <c r="M104" s="11"/>
      <c r="N104" s="12"/>
      <c r="O104" s="12"/>
      <c r="P104" s="10"/>
      <c r="Q104" s="10"/>
      <c r="R104" s="10"/>
      <c r="S104" s="13">
        <f>SUM(Table3[[#This Row],[Female ( age less than 17)]:[Male ( More than 18)2]])</f>
        <v>0</v>
      </c>
      <c r="T104" s="10"/>
      <c r="U104" s="10"/>
      <c r="V104" s="10"/>
      <c r="W104" s="10"/>
      <c r="X104" s="10"/>
      <c r="Z104" s="1"/>
      <c r="AB104" s="1"/>
      <c r="AF104" s="1"/>
      <c r="AJ104" s="1"/>
      <c r="AL104" s="1"/>
    </row>
    <row r="105" spans="1:3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1"/>
      <c r="M105" s="11"/>
      <c r="N105" s="12"/>
      <c r="O105" s="12"/>
      <c r="P105" s="10"/>
      <c r="Q105" s="10"/>
      <c r="R105" s="10"/>
      <c r="S105" s="13">
        <f>SUM(Table3[[#This Row],[Female ( age less than 17)]:[Male ( More than 18)2]])</f>
        <v>0</v>
      </c>
      <c r="T105" s="10"/>
      <c r="U105" s="10"/>
      <c r="V105" s="10"/>
      <c r="W105" s="10"/>
      <c r="X105" s="10"/>
      <c r="Z105" s="1"/>
      <c r="AB105" s="1"/>
      <c r="AF105" s="1"/>
      <c r="AJ105" s="1"/>
      <c r="AL105" s="1"/>
    </row>
    <row r="106" spans="1:3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M106" s="11"/>
      <c r="N106" s="12"/>
      <c r="O106" s="12"/>
      <c r="P106" s="10"/>
      <c r="Q106" s="10"/>
      <c r="R106" s="10"/>
      <c r="S106" s="13">
        <f>SUM(Table3[[#This Row],[Female ( age less than 17)]:[Male ( More than 18)2]])</f>
        <v>0</v>
      </c>
      <c r="T106" s="10"/>
      <c r="U106" s="10"/>
      <c r="V106" s="10"/>
      <c r="W106" s="10"/>
      <c r="X106" s="10"/>
      <c r="Z106" s="1"/>
      <c r="AB106" s="1"/>
      <c r="AF106" s="1"/>
      <c r="AJ106" s="1"/>
      <c r="AL106" s="1"/>
    </row>
    <row r="107" spans="1:3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M107" s="11"/>
      <c r="N107" s="12"/>
      <c r="O107" s="12"/>
      <c r="P107" s="10"/>
      <c r="Q107" s="10"/>
      <c r="R107" s="10"/>
      <c r="S107" s="13">
        <f>SUM(Table3[[#This Row],[Female ( age less than 17)]:[Male ( More than 18)2]])</f>
        <v>0</v>
      </c>
      <c r="T107" s="10"/>
      <c r="U107" s="10"/>
      <c r="V107" s="10"/>
      <c r="W107" s="10"/>
      <c r="X107" s="10"/>
      <c r="Z107" s="1"/>
      <c r="AB107" s="1"/>
      <c r="AF107" s="1"/>
      <c r="AJ107" s="1"/>
      <c r="AL107" s="1"/>
    </row>
    <row r="108" spans="1:3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M108" s="11"/>
      <c r="N108" s="12"/>
      <c r="O108" s="12"/>
      <c r="P108" s="10"/>
      <c r="Q108" s="10"/>
      <c r="R108" s="10"/>
      <c r="S108" s="13">
        <f>SUM(Table3[[#This Row],[Female ( age less than 17)]:[Male ( More than 18)2]])</f>
        <v>0</v>
      </c>
      <c r="T108" s="10"/>
      <c r="U108" s="10"/>
      <c r="V108" s="10"/>
      <c r="W108" s="10"/>
      <c r="X108" s="10"/>
      <c r="Z108" s="1"/>
      <c r="AB108" s="1"/>
      <c r="AF108" s="1"/>
      <c r="AJ108" s="1"/>
      <c r="AL108" s="1"/>
    </row>
    <row r="109" spans="1:3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M109" s="11"/>
      <c r="N109" s="12"/>
      <c r="O109" s="12"/>
      <c r="P109" s="10"/>
      <c r="Q109" s="10"/>
      <c r="R109" s="10"/>
      <c r="S109" s="13">
        <f>SUM(Table3[[#This Row],[Female ( age less than 17)]:[Male ( More than 18)2]])</f>
        <v>0</v>
      </c>
      <c r="T109" s="10"/>
      <c r="U109" s="10"/>
      <c r="V109" s="10"/>
      <c r="W109" s="10"/>
      <c r="X109" s="10"/>
      <c r="Z109" s="1"/>
      <c r="AB109" s="1"/>
      <c r="AF109" s="1"/>
      <c r="AJ109" s="1"/>
      <c r="AL109" s="1"/>
    </row>
    <row r="110" spans="1:3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M110" s="11"/>
      <c r="N110" s="12"/>
      <c r="O110" s="12"/>
      <c r="P110" s="10"/>
      <c r="Q110" s="10"/>
      <c r="R110" s="10"/>
      <c r="S110" s="13">
        <f>SUM(Table3[[#This Row],[Female ( age less than 17)]:[Male ( More than 18)2]])</f>
        <v>0</v>
      </c>
      <c r="T110" s="10"/>
      <c r="U110" s="10"/>
      <c r="V110" s="10"/>
      <c r="W110" s="10"/>
      <c r="X110" s="10"/>
      <c r="Z110" s="1"/>
      <c r="AB110" s="1"/>
      <c r="AF110" s="1"/>
      <c r="AJ110" s="1"/>
      <c r="AL110" s="1"/>
    </row>
    <row r="111" spans="1:3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1"/>
      <c r="N111" s="12"/>
      <c r="O111" s="12"/>
      <c r="P111" s="10"/>
      <c r="Q111" s="10"/>
      <c r="R111" s="10"/>
      <c r="S111" s="13">
        <f>SUM(Table3[[#This Row],[Female ( age less than 17)]:[Male ( More than 18)2]])</f>
        <v>0</v>
      </c>
      <c r="T111" s="10"/>
      <c r="U111" s="10"/>
      <c r="V111" s="10"/>
      <c r="W111" s="10"/>
      <c r="X111" s="10"/>
      <c r="Z111" s="1"/>
      <c r="AB111" s="1"/>
      <c r="AF111" s="1"/>
      <c r="AJ111" s="1"/>
      <c r="AL111" s="1"/>
    </row>
    <row r="112" spans="1:38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1"/>
      <c r="N112" s="12"/>
      <c r="O112" s="12"/>
      <c r="P112" s="10"/>
      <c r="Q112" s="10"/>
      <c r="R112" s="10"/>
      <c r="S112" s="13">
        <f>SUM(Table3[[#This Row],[Female ( age less than 17)]:[Male ( More than 18)2]])</f>
        <v>0</v>
      </c>
      <c r="T112" s="10"/>
      <c r="U112" s="10"/>
      <c r="V112" s="10"/>
      <c r="W112" s="10"/>
      <c r="X112" s="10"/>
      <c r="Z112" s="1"/>
      <c r="AB112" s="1"/>
      <c r="AF112" s="1"/>
      <c r="AJ112" s="1"/>
      <c r="AL112" s="1"/>
    </row>
    <row r="113" spans="1:38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M113" s="11"/>
      <c r="N113" s="12"/>
      <c r="O113" s="12"/>
      <c r="P113" s="10"/>
      <c r="Q113" s="10"/>
      <c r="R113" s="10"/>
      <c r="S113" s="13">
        <f>SUM(Table3[[#This Row],[Female ( age less than 17)]:[Male ( More than 18)2]])</f>
        <v>0</v>
      </c>
      <c r="T113" s="10"/>
      <c r="U113" s="10"/>
      <c r="V113" s="10"/>
      <c r="W113" s="10"/>
      <c r="X113" s="10"/>
      <c r="Z113" s="1"/>
      <c r="AB113" s="1"/>
      <c r="AF113" s="1"/>
      <c r="AJ113" s="1"/>
      <c r="AL113" s="1"/>
    </row>
    <row r="114" spans="1:38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M114" s="11"/>
      <c r="N114" s="12"/>
      <c r="O114" s="12"/>
      <c r="P114" s="10"/>
      <c r="Q114" s="10"/>
      <c r="R114" s="10"/>
      <c r="S114" s="13">
        <f>SUM(Table3[[#This Row],[Female ( age less than 17)]:[Male ( More than 18)2]])</f>
        <v>0</v>
      </c>
      <c r="T114" s="10"/>
      <c r="U114" s="10"/>
      <c r="V114" s="10"/>
      <c r="W114" s="10"/>
      <c r="X114" s="10"/>
      <c r="Z114" s="1"/>
      <c r="AB114" s="1"/>
      <c r="AF114" s="1"/>
      <c r="AJ114" s="1"/>
      <c r="AL114" s="1"/>
    </row>
    <row r="115" spans="1:38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M115" s="11"/>
      <c r="N115" s="12"/>
      <c r="O115" s="12"/>
      <c r="P115" s="10"/>
      <c r="Q115" s="10"/>
      <c r="R115" s="10"/>
      <c r="S115" s="13">
        <f>SUM(Table3[[#This Row],[Female ( age less than 17)]:[Male ( More than 18)2]])</f>
        <v>0</v>
      </c>
      <c r="T115" s="10"/>
      <c r="U115" s="10"/>
      <c r="V115" s="10"/>
      <c r="W115" s="10"/>
      <c r="X115" s="10"/>
      <c r="Z115" s="1"/>
      <c r="AB115" s="1"/>
      <c r="AF115" s="1"/>
      <c r="AJ115" s="1"/>
      <c r="AL115" s="1"/>
    </row>
    <row r="116" spans="1:38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1"/>
      <c r="N116" s="12"/>
      <c r="O116" s="12"/>
      <c r="P116" s="10"/>
      <c r="Q116" s="10"/>
      <c r="R116" s="10"/>
      <c r="S116" s="13">
        <f>SUM(Table3[[#This Row],[Female ( age less than 17)]:[Male ( More than 18)2]])</f>
        <v>0</v>
      </c>
      <c r="T116" s="10"/>
      <c r="U116" s="10"/>
      <c r="V116" s="10"/>
      <c r="W116" s="10"/>
      <c r="X116" s="10"/>
      <c r="Z116" s="1"/>
      <c r="AB116" s="1"/>
      <c r="AF116" s="1"/>
      <c r="AJ116" s="1"/>
      <c r="AL116" s="1"/>
    </row>
    <row r="117" spans="1:38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1"/>
      <c r="M117" s="11"/>
      <c r="N117" s="12"/>
      <c r="O117" s="12"/>
      <c r="P117" s="10"/>
      <c r="Q117" s="10"/>
      <c r="R117" s="10"/>
      <c r="S117" s="13">
        <f>SUM(Table3[[#This Row],[Female ( age less than 17)]:[Male ( More than 18)2]])</f>
        <v>0</v>
      </c>
      <c r="T117" s="10"/>
      <c r="U117" s="10"/>
      <c r="V117" s="10"/>
      <c r="W117" s="10"/>
      <c r="X117" s="10"/>
      <c r="Z117" s="1"/>
      <c r="AB117" s="1"/>
      <c r="AF117" s="1"/>
      <c r="AJ117" s="1"/>
      <c r="AL117" s="1"/>
    </row>
    <row r="118" spans="1:38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1"/>
      <c r="M118" s="11"/>
      <c r="N118" s="12"/>
      <c r="O118" s="12"/>
      <c r="P118" s="10"/>
      <c r="Q118" s="10"/>
      <c r="R118" s="10"/>
      <c r="S118" s="13">
        <f>SUM(Table3[[#This Row],[Female ( age less than 17)]:[Male ( More than 18)2]])</f>
        <v>0</v>
      </c>
      <c r="T118" s="10"/>
      <c r="U118" s="10"/>
      <c r="V118" s="10"/>
      <c r="W118" s="10"/>
      <c r="X118" s="10"/>
      <c r="Z118" s="1"/>
      <c r="AB118" s="1"/>
      <c r="AF118" s="1"/>
      <c r="AJ118" s="1"/>
      <c r="AL118" s="1"/>
    </row>
    <row r="119" spans="1:38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1"/>
      <c r="M119" s="11"/>
      <c r="N119" s="12"/>
      <c r="O119" s="12"/>
      <c r="P119" s="10"/>
      <c r="Q119" s="10"/>
      <c r="R119" s="10"/>
      <c r="S119" s="13">
        <f>SUM(Table3[[#This Row],[Female ( age less than 17)]:[Male ( More than 18)2]])</f>
        <v>0</v>
      </c>
      <c r="T119" s="10"/>
      <c r="U119" s="10"/>
      <c r="V119" s="10"/>
      <c r="W119" s="10"/>
      <c r="X119" s="10"/>
      <c r="Z119" s="1"/>
      <c r="AB119" s="1"/>
      <c r="AF119" s="1"/>
      <c r="AJ119" s="1"/>
      <c r="AL119" s="1"/>
    </row>
    <row r="120" spans="1:38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1"/>
      <c r="M120" s="11"/>
      <c r="N120" s="12"/>
      <c r="O120" s="12"/>
      <c r="P120" s="10"/>
      <c r="Q120" s="10"/>
      <c r="R120" s="10"/>
      <c r="S120" s="13">
        <f>SUM(Table3[[#This Row],[Female ( age less than 17)]:[Male ( More than 18)2]])</f>
        <v>0</v>
      </c>
      <c r="T120" s="10"/>
      <c r="U120" s="10"/>
      <c r="V120" s="10"/>
      <c r="W120" s="10"/>
      <c r="X120" s="10"/>
      <c r="Z120" s="1"/>
      <c r="AB120" s="1"/>
      <c r="AF120" s="1"/>
      <c r="AJ120" s="1"/>
      <c r="AL120" s="1"/>
    </row>
    <row r="121" spans="1:38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1"/>
      <c r="M121" s="11"/>
      <c r="N121" s="12"/>
      <c r="O121" s="12"/>
      <c r="P121" s="10"/>
      <c r="Q121" s="10"/>
      <c r="R121" s="10"/>
      <c r="S121" s="13">
        <f>SUM(Table3[[#This Row],[Female ( age less than 17)]:[Male ( More than 18)2]])</f>
        <v>0</v>
      </c>
      <c r="T121" s="10"/>
      <c r="U121" s="10"/>
      <c r="V121" s="10"/>
      <c r="W121" s="10"/>
      <c r="X121" s="10"/>
      <c r="Z121" s="1"/>
      <c r="AB121" s="1"/>
      <c r="AF121" s="1"/>
      <c r="AJ121" s="1"/>
      <c r="AL121" s="1"/>
    </row>
    <row r="122" spans="1:38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1"/>
      <c r="M122" s="11"/>
      <c r="N122" s="12"/>
      <c r="O122" s="12"/>
      <c r="P122" s="10"/>
      <c r="Q122" s="10"/>
      <c r="R122" s="10"/>
      <c r="S122" s="13">
        <f>SUM(Table3[[#This Row],[Female ( age less than 17)]:[Male ( More than 18)2]])</f>
        <v>0</v>
      </c>
      <c r="T122" s="10"/>
      <c r="U122" s="10"/>
      <c r="V122" s="10"/>
      <c r="W122" s="10"/>
      <c r="X122" s="10"/>
      <c r="Z122" s="1"/>
      <c r="AB122" s="1"/>
      <c r="AF122" s="1"/>
      <c r="AJ122" s="1"/>
      <c r="AL122" s="1"/>
    </row>
    <row r="123" spans="1:38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M123" s="11"/>
      <c r="N123" s="12"/>
      <c r="O123" s="12"/>
      <c r="P123" s="10"/>
      <c r="Q123" s="10"/>
      <c r="R123" s="10"/>
      <c r="S123" s="13">
        <f>SUM(Table3[[#This Row],[Female ( age less than 17)]:[Male ( More than 18)2]])</f>
        <v>0</v>
      </c>
      <c r="T123" s="10"/>
      <c r="U123" s="10"/>
      <c r="V123" s="10"/>
      <c r="W123" s="10"/>
      <c r="X123" s="10"/>
      <c r="Z123" s="1"/>
      <c r="AB123" s="1"/>
      <c r="AF123" s="1"/>
      <c r="AJ123" s="1"/>
      <c r="AL123" s="1"/>
    </row>
    <row r="124" spans="1:38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M124" s="11"/>
      <c r="N124" s="12"/>
      <c r="O124" s="12"/>
      <c r="P124" s="10"/>
      <c r="Q124" s="10"/>
      <c r="R124" s="10"/>
      <c r="S124" s="13">
        <f>SUM(Table3[[#This Row],[Female ( age less than 17)]:[Male ( More than 18)2]])</f>
        <v>0</v>
      </c>
      <c r="T124" s="10"/>
      <c r="U124" s="10"/>
      <c r="V124" s="10"/>
      <c r="W124" s="10"/>
      <c r="X124" s="10"/>
      <c r="Z124" s="1"/>
      <c r="AB124" s="1"/>
      <c r="AF124" s="1"/>
      <c r="AJ124" s="1"/>
      <c r="AL124" s="1"/>
    </row>
    <row r="125" spans="1:38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1"/>
      <c r="N125" s="12"/>
      <c r="O125" s="12"/>
      <c r="P125" s="10"/>
      <c r="Q125" s="10"/>
      <c r="R125" s="10"/>
      <c r="S125" s="13">
        <f>SUM(Table3[[#This Row],[Female ( age less than 17)]:[Male ( More than 18)2]])</f>
        <v>0</v>
      </c>
      <c r="T125" s="10"/>
      <c r="U125" s="10"/>
      <c r="V125" s="10"/>
      <c r="W125" s="10"/>
      <c r="X125" s="10"/>
      <c r="Z125" s="1"/>
      <c r="AB125" s="1"/>
      <c r="AF125" s="1"/>
      <c r="AJ125" s="1"/>
      <c r="AL125" s="1"/>
    </row>
    <row r="126" spans="1:38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1"/>
      <c r="N126" s="12"/>
      <c r="O126" s="12"/>
      <c r="P126" s="10"/>
      <c r="Q126" s="10"/>
      <c r="R126" s="10"/>
      <c r="S126" s="13">
        <f>SUM(Table3[[#This Row],[Female ( age less than 17)]:[Male ( More than 18)2]])</f>
        <v>0</v>
      </c>
      <c r="T126" s="10"/>
      <c r="U126" s="10"/>
      <c r="V126" s="10"/>
      <c r="W126" s="10"/>
      <c r="X126" s="10"/>
      <c r="Z126" s="1"/>
      <c r="AB126" s="1"/>
      <c r="AF126" s="1"/>
      <c r="AJ126" s="1"/>
      <c r="AL126" s="1"/>
    </row>
    <row r="127" spans="1:38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1"/>
      <c r="N127" s="12"/>
      <c r="O127" s="12"/>
      <c r="P127" s="10"/>
      <c r="Q127" s="10"/>
      <c r="R127" s="10"/>
      <c r="S127" s="13">
        <f>SUM(Table3[[#This Row],[Female ( age less than 17)]:[Male ( More than 18)2]])</f>
        <v>0</v>
      </c>
      <c r="T127" s="10"/>
      <c r="U127" s="10"/>
      <c r="V127" s="10"/>
      <c r="W127" s="10"/>
      <c r="X127" s="10"/>
      <c r="Z127" s="1"/>
      <c r="AB127" s="1"/>
      <c r="AF127" s="1"/>
      <c r="AJ127" s="1"/>
      <c r="AL127" s="1"/>
    </row>
    <row r="128" spans="1:38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1"/>
      <c r="N128" s="12"/>
      <c r="O128" s="12"/>
      <c r="P128" s="10"/>
      <c r="Q128" s="10"/>
      <c r="R128" s="10"/>
      <c r="S128" s="13">
        <f>SUM(Table3[[#This Row],[Female ( age less than 17)]:[Male ( More than 18)2]])</f>
        <v>0</v>
      </c>
      <c r="T128" s="10"/>
      <c r="U128" s="10"/>
      <c r="V128" s="10"/>
      <c r="W128" s="10"/>
      <c r="X128" s="10"/>
      <c r="Z128" s="1"/>
      <c r="AB128" s="1"/>
      <c r="AF128" s="1"/>
      <c r="AJ128" s="1"/>
      <c r="AL128" s="1"/>
    </row>
    <row r="129" spans="1:38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M129" s="11"/>
      <c r="N129" s="12"/>
      <c r="O129" s="12"/>
      <c r="P129" s="10"/>
      <c r="Q129" s="10"/>
      <c r="R129" s="10"/>
      <c r="S129" s="13">
        <f>SUM(Table3[[#This Row],[Female ( age less than 17)]:[Male ( More than 18)2]])</f>
        <v>0</v>
      </c>
      <c r="T129" s="10"/>
      <c r="U129" s="10"/>
      <c r="V129" s="10"/>
      <c r="W129" s="10"/>
      <c r="X129" s="10"/>
      <c r="Z129" s="1"/>
      <c r="AB129" s="1"/>
      <c r="AF129" s="1"/>
      <c r="AJ129" s="1"/>
      <c r="AL129" s="1"/>
    </row>
    <row r="130" spans="1:38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M130" s="11"/>
      <c r="N130" s="12"/>
      <c r="O130" s="12"/>
      <c r="P130" s="10"/>
      <c r="Q130" s="10"/>
      <c r="R130" s="10"/>
      <c r="S130" s="13">
        <f>SUM(Table3[[#This Row],[Female ( age less than 17)]:[Male ( More than 18)2]])</f>
        <v>0</v>
      </c>
      <c r="T130" s="10"/>
      <c r="U130" s="10"/>
      <c r="V130" s="10"/>
      <c r="W130" s="10"/>
      <c r="X130" s="10"/>
      <c r="Z130" s="1"/>
      <c r="AB130" s="1"/>
      <c r="AF130" s="1"/>
      <c r="AJ130" s="1"/>
      <c r="AL130" s="1"/>
    </row>
    <row r="131" spans="1:38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M131" s="11"/>
      <c r="N131" s="12"/>
      <c r="O131" s="12"/>
      <c r="P131" s="10"/>
      <c r="Q131" s="10"/>
      <c r="R131" s="10"/>
      <c r="S131" s="13">
        <f>SUM(Table3[[#This Row],[Female ( age less than 17)]:[Male ( More than 18)2]])</f>
        <v>0</v>
      </c>
      <c r="T131" s="10"/>
      <c r="U131" s="10"/>
      <c r="V131" s="10"/>
      <c r="W131" s="10"/>
      <c r="X131" s="10"/>
      <c r="Z131" s="1"/>
      <c r="AB131" s="1"/>
      <c r="AF131" s="1"/>
      <c r="AJ131" s="1"/>
      <c r="AL131" s="1"/>
    </row>
    <row r="132" spans="1:38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M132" s="11"/>
      <c r="N132" s="12"/>
      <c r="O132" s="12"/>
      <c r="P132" s="10"/>
      <c r="Q132" s="10"/>
      <c r="R132" s="10"/>
      <c r="S132" s="13">
        <f>SUM(Table3[[#This Row],[Female ( age less than 17)]:[Male ( More than 18)2]])</f>
        <v>0</v>
      </c>
      <c r="T132" s="10"/>
      <c r="U132" s="10"/>
      <c r="V132" s="10"/>
      <c r="W132" s="10"/>
      <c r="X132" s="10"/>
      <c r="Z132" s="1"/>
      <c r="AB132" s="1"/>
      <c r="AF132" s="1"/>
      <c r="AJ132" s="1"/>
      <c r="AL132" s="1"/>
    </row>
    <row r="133" spans="1:38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1"/>
      <c r="M133" s="11"/>
      <c r="N133" s="12"/>
      <c r="O133" s="12"/>
      <c r="P133" s="10"/>
      <c r="Q133" s="10"/>
      <c r="R133" s="10"/>
      <c r="S133" s="13">
        <f>SUM(Table3[[#This Row],[Female ( age less than 17)]:[Male ( More than 18)2]])</f>
        <v>0</v>
      </c>
      <c r="T133" s="10"/>
      <c r="U133" s="10"/>
      <c r="V133" s="10"/>
      <c r="W133" s="10"/>
      <c r="X133" s="10"/>
      <c r="Z133" s="1"/>
      <c r="AB133" s="1"/>
      <c r="AF133" s="1"/>
      <c r="AJ133" s="1"/>
      <c r="AL133" s="1"/>
    </row>
    <row r="134" spans="1:38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1"/>
      <c r="M134" s="11"/>
      <c r="N134" s="12"/>
      <c r="O134" s="12"/>
      <c r="P134" s="10"/>
      <c r="Q134" s="10"/>
      <c r="R134" s="10"/>
      <c r="S134" s="13">
        <f>SUM(Table3[[#This Row],[Female ( age less than 17)]:[Male ( More than 18)2]])</f>
        <v>0</v>
      </c>
      <c r="T134" s="10"/>
      <c r="U134" s="10"/>
      <c r="V134" s="10"/>
      <c r="W134" s="10"/>
      <c r="X134" s="10"/>
      <c r="Z134" s="1"/>
      <c r="AB134" s="1"/>
      <c r="AF134" s="1"/>
      <c r="AJ134" s="1"/>
      <c r="AL134" s="1"/>
    </row>
    <row r="135" spans="1:38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1"/>
      <c r="M135" s="11"/>
      <c r="N135" s="12"/>
      <c r="O135" s="12"/>
      <c r="P135" s="10"/>
      <c r="Q135" s="10"/>
      <c r="R135" s="10"/>
      <c r="S135" s="13">
        <f>SUM(Table3[[#This Row],[Female ( age less than 17)]:[Male ( More than 18)2]])</f>
        <v>0</v>
      </c>
      <c r="T135" s="10"/>
      <c r="U135" s="10"/>
      <c r="V135" s="10"/>
      <c r="W135" s="10"/>
      <c r="X135" s="10"/>
      <c r="Z135" s="1"/>
      <c r="AB135" s="1"/>
      <c r="AF135" s="1"/>
      <c r="AJ135" s="1"/>
      <c r="AL135" s="1"/>
    </row>
    <row r="136" spans="1:38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/>
      <c r="M136" s="11"/>
      <c r="N136" s="12"/>
      <c r="O136" s="12"/>
      <c r="P136" s="10"/>
      <c r="Q136" s="10"/>
      <c r="R136" s="10"/>
      <c r="S136" s="13">
        <f>SUM(Table3[[#This Row],[Female ( age less than 17)]:[Male ( More than 18)2]])</f>
        <v>0</v>
      </c>
      <c r="T136" s="10"/>
      <c r="U136" s="10"/>
      <c r="V136" s="10"/>
      <c r="W136" s="10"/>
      <c r="X136" s="10"/>
      <c r="Z136" s="1"/>
      <c r="AB136" s="1"/>
      <c r="AF136" s="1"/>
      <c r="AJ136" s="1"/>
      <c r="AL136" s="1"/>
    </row>
    <row r="137" spans="1:38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1"/>
      <c r="M137" s="11"/>
      <c r="N137" s="12"/>
      <c r="O137" s="12"/>
      <c r="P137" s="10"/>
      <c r="Q137" s="10"/>
      <c r="R137" s="10"/>
      <c r="S137" s="13">
        <f>SUM(Table3[[#This Row],[Female ( age less than 17)]:[Male ( More than 18)2]])</f>
        <v>0</v>
      </c>
      <c r="T137" s="10"/>
      <c r="U137" s="10"/>
      <c r="V137" s="10"/>
      <c r="W137" s="10"/>
      <c r="X137" s="10"/>
      <c r="Z137" s="1"/>
      <c r="AB137" s="1"/>
      <c r="AF137" s="1"/>
      <c r="AJ137" s="1"/>
      <c r="AL137" s="1"/>
    </row>
    <row r="138" spans="1:38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1"/>
      <c r="M138" s="11"/>
      <c r="N138" s="12"/>
      <c r="O138" s="12"/>
      <c r="P138" s="10"/>
      <c r="Q138" s="10"/>
      <c r="R138" s="10"/>
      <c r="S138" s="13">
        <f>SUM(Table3[[#This Row],[Female ( age less than 17)]:[Male ( More than 18)2]])</f>
        <v>0</v>
      </c>
      <c r="T138" s="10"/>
      <c r="U138" s="10"/>
      <c r="V138" s="10"/>
      <c r="W138" s="10"/>
      <c r="X138" s="10"/>
      <c r="Z138" s="1"/>
      <c r="AB138" s="1"/>
      <c r="AF138" s="1"/>
      <c r="AJ138" s="1"/>
      <c r="AL138" s="1"/>
    </row>
    <row r="139" spans="1:38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1"/>
      <c r="M139" s="11"/>
      <c r="N139" s="12"/>
      <c r="O139" s="12"/>
      <c r="P139" s="10"/>
      <c r="Q139" s="10"/>
      <c r="R139" s="10"/>
      <c r="S139" s="13">
        <f>SUM(Table3[[#This Row],[Female ( age less than 17)]:[Male ( More than 18)2]])</f>
        <v>0</v>
      </c>
      <c r="T139" s="10"/>
      <c r="U139" s="10"/>
      <c r="V139" s="10"/>
      <c r="W139" s="10"/>
      <c r="X139" s="10"/>
      <c r="Z139" s="1"/>
      <c r="AB139" s="1"/>
      <c r="AF139" s="1"/>
      <c r="AJ139" s="1"/>
      <c r="AL139" s="1"/>
    </row>
    <row r="140" spans="1:38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M140" s="11"/>
      <c r="N140" s="12"/>
      <c r="O140" s="12"/>
      <c r="P140" s="10"/>
      <c r="Q140" s="10"/>
      <c r="R140" s="10"/>
      <c r="S140" s="13">
        <f>SUM(Table3[[#This Row],[Female ( age less than 17)]:[Male ( More than 18)2]])</f>
        <v>0</v>
      </c>
      <c r="T140" s="10"/>
      <c r="U140" s="10"/>
      <c r="V140" s="10"/>
      <c r="W140" s="10"/>
      <c r="X140" s="10"/>
      <c r="Z140" s="1"/>
      <c r="AB140" s="1"/>
      <c r="AF140" s="1"/>
      <c r="AJ140" s="1"/>
      <c r="AL140" s="1"/>
    </row>
    <row r="141" spans="1:38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M141" s="11"/>
      <c r="N141" s="12"/>
      <c r="O141" s="12"/>
      <c r="P141" s="10"/>
      <c r="Q141" s="10"/>
      <c r="R141" s="10"/>
      <c r="S141" s="13">
        <f>SUM(Table3[[#This Row],[Female ( age less than 17)]:[Male ( More than 18)2]])</f>
        <v>0</v>
      </c>
      <c r="T141" s="10"/>
      <c r="U141" s="10"/>
      <c r="V141" s="10"/>
      <c r="W141" s="10"/>
      <c r="X141" s="10"/>
      <c r="Z141" s="1"/>
      <c r="AB141" s="1"/>
      <c r="AF141" s="1"/>
      <c r="AJ141" s="1"/>
      <c r="AL141" s="1"/>
    </row>
    <row r="142" spans="1:38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M142" s="11"/>
      <c r="N142" s="12"/>
      <c r="O142" s="12"/>
      <c r="P142" s="10"/>
      <c r="Q142" s="10"/>
      <c r="R142" s="10"/>
      <c r="S142" s="13">
        <f>SUM(Table3[[#This Row],[Female ( age less than 17)]:[Male ( More than 18)2]])</f>
        <v>0</v>
      </c>
      <c r="T142" s="10"/>
      <c r="U142" s="10"/>
      <c r="V142" s="10"/>
      <c r="W142" s="10"/>
      <c r="X142" s="10"/>
      <c r="Z142" s="1"/>
      <c r="AB142" s="1"/>
      <c r="AF142" s="1"/>
      <c r="AJ142" s="1"/>
      <c r="AL142" s="1"/>
    </row>
    <row r="143" spans="1:38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M143" s="11"/>
      <c r="N143" s="12"/>
      <c r="O143" s="12"/>
      <c r="P143" s="10"/>
      <c r="Q143" s="10"/>
      <c r="R143" s="10"/>
      <c r="S143" s="13">
        <f>SUM(Table3[[#This Row],[Female ( age less than 17)]:[Male ( More than 18)2]])</f>
        <v>0</v>
      </c>
      <c r="T143" s="10"/>
      <c r="U143" s="10"/>
      <c r="V143" s="10"/>
      <c r="W143" s="10"/>
      <c r="X143" s="10"/>
      <c r="Z143" s="1"/>
      <c r="AB143" s="1"/>
      <c r="AF143" s="1"/>
      <c r="AJ143" s="1"/>
      <c r="AL143" s="1"/>
    </row>
    <row r="144" spans="1:38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M144" s="11"/>
      <c r="N144" s="12"/>
      <c r="O144" s="12"/>
      <c r="P144" s="10"/>
      <c r="Q144" s="10"/>
      <c r="R144" s="10"/>
      <c r="S144" s="13">
        <f>SUM(Table3[[#This Row],[Female ( age less than 17)]:[Male ( More than 18)2]])</f>
        <v>0</v>
      </c>
      <c r="T144" s="10"/>
      <c r="U144" s="10"/>
      <c r="V144" s="10"/>
      <c r="W144" s="10"/>
      <c r="X144" s="10"/>
      <c r="Z144" s="1"/>
      <c r="AB144" s="1"/>
      <c r="AF144" s="1"/>
      <c r="AJ144" s="1"/>
      <c r="AL144" s="1"/>
    </row>
    <row r="145" spans="1:38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M145" s="11"/>
      <c r="N145" s="12"/>
      <c r="O145" s="12"/>
      <c r="P145" s="10"/>
      <c r="Q145" s="10"/>
      <c r="R145" s="10"/>
      <c r="S145" s="13">
        <f>SUM(Table3[[#This Row],[Female ( age less than 17)]:[Male ( More than 18)2]])</f>
        <v>0</v>
      </c>
      <c r="T145" s="10"/>
      <c r="U145" s="10"/>
      <c r="V145" s="10"/>
      <c r="W145" s="10"/>
      <c r="X145" s="10"/>
      <c r="Z145" s="1"/>
      <c r="AB145" s="1"/>
      <c r="AF145" s="1"/>
      <c r="AJ145" s="1"/>
      <c r="AL145" s="1"/>
    </row>
    <row r="146" spans="1:38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M146" s="11"/>
      <c r="N146" s="12"/>
      <c r="O146" s="12"/>
      <c r="P146" s="10"/>
      <c r="Q146" s="10"/>
      <c r="R146" s="10"/>
      <c r="S146" s="13">
        <f>SUM(Table3[[#This Row],[Female ( age less than 17)]:[Male ( More than 18)2]])</f>
        <v>0</v>
      </c>
      <c r="T146" s="10"/>
      <c r="U146" s="10"/>
      <c r="V146" s="10"/>
      <c r="W146" s="10"/>
      <c r="X146" s="10"/>
      <c r="Z146" s="1"/>
      <c r="AB146" s="1"/>
      <c r="AF146" s="1"/>
      <c r="AJ146" s="1"/>
      <c r="AL146" s="1"/>
    </row>
    <row r="147" spans="1:38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M147" s="11"/>
      <c r="N147" s="12"/>
      <c r="O147" s="12"/>
      <c r="P147" s="10"/>
      <c r="Q147" s="10"/>
      <c r="R147" s="10"/>
      <c r="S147" s="13">
        <f>SUM(Table3[[#This Row],[Female ( age less than 17)]:[Male ( More than 18)2]])</f>
        <v>0</v>
      </c>
      <c r="T147" s="10"/>
      <c r="U147" s="10"/>
      <c r="V147" s="10"/>
      <c r="W147" s="10"/>
      <c r="X147" s="10"/>
      <c r="Z147" s="1"/>
      <c r="AB147" s="1"/>
      <c r="AF147" s="1"/>
      <c r="AJ147" s="1"/>
      <c r="AL147" s="1"/>
    </row>
    <row r="148" spans="1:38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M148" s="11"/>
      <c r="N148" s="12"/>
      <c r="O148" s="12"/>
      <c r="P148" s="10"/>
      <c r="Q148" s="10"/>
      <c r="R148" s="10"/>
      <c r="S148" s="13">
        <f>SUM(Table3[[#This Row],[Female ( age less than 17)]:[Male ( More than 18)2]])</f>
        <v>0</v>
      </c>
      <c r="T148" s="10"/>
      <c r="U148" s="10"/>
      <c r="V148" s="10"/>
      <c r="W148" s="10"/>
      <c r="X148" s="10"/>
      <c r="Z148" s="1"/>
      <c r="AB148" s="1"/>
      <c r="AF148" s="1"/>
      <c r="AJ148" s="1"/>
      <c r="AL148" s="1"/>
    </row>
    <row r="149" spans="1:38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M149" s="11"/>
      <c r="N149" s="12"/>
      <c r="O149" s="12"/>
      <c r="P149" s="10"/>
      <c r="Q149" s="10"/>
      <c r="R149" s="10"/>
      <c r="S149" s="13">
        <f>SUM(Table3[[#This Row],[Female ( age less than 17)]:[Male ( More than 18)2]])</f>
        <v>0</v>
      </c>
      <c r="T149" s="10"/>
      <c r="U149" s="10"/>
      <c r="V149" s="10"/>
      <c r="W149" s="10"/>
      <c r="X149" s="10"/>
      <c r="Z149" s="1"/>
      <c r="AB149" s="1"/>
      <c r="AF149" s="1"/>
      <c r="AJ149" s="1"/>
      <c r="AL149" s="1"/>
    </row>
    <row r="150" spans="1:38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1"/>
      <c r="M150" s="11"/>
      <c r="N150" s="12"/>
      <c r="O150" s="12"/>
      <c r="P150" s="10"/>
      <c r="Q150" s="10"/>
      <c r="R150" s="10"/>
      <c r="S150" s="13">
        <f>SUM(Table3[[#This Row],[Female ( age less than 17)]:[Male ( More than 18)2]])</f>
        <v>0</v>
      </c>
      <c r="T150" s="10"/>
      <c r="U150" s="10"/>
      <c r="V150" s="10"/>
      <c r="W150" s="10"/>
      <c r="X150" s="10"/>
      <c r="Z150" s="1"/>
      <c r="AB150" s="1"/>
      <c r="AF150" s="1"/>
      <c r="AJ150" s="1"/>
      <c r="AL150" s="1"/>
    </row>
    <row r="151" spans="1:38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1"/>
      <c r="M151" s="11"/>
      <c r="N151" s="12"/>
      <c r="O151" s="12"/>
      <c r="P151" s="10"/>
      <c r="Q151" s="10"/>
      <c r="R151" s="10"/>
      <c r="S151" s="13">
        <f>SUM(Table3[[#This Row],[Female ( age less than 17)]:[Male ( More than 18)2]])</f>
        <v>0</v>
      </c>
      <c r="T151" s="10"/>
      <c r="U151" s="10"/>
      <c r="V151" s="10"/>
      <c r="W151" s="10"/>
      <c r="X151" s="10"/>
      <c r="Z151" s="1"/>
      <c r="AB151" s="1"/>
      <c r="AF151" s="1"/>
      <c r="AJ151" s="1"/>
      <c r="AL151" s="1"/>
    </row>
    <row r="152" spans="1:38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1"/>
      <c r="M152" s="11"/>
      <c r="N152" s="12"/>
      <c r="O152" s="12"/>
      <c r="P152" s="10"/>
      <c r="Q152" s="10"/>
      <c r="R152" s="10"/>
      <c r="S152" s="13">
        <f>SUM(Table3[[#This Row],[Female ( age less than 17)]:[Male ( More than 18)2]])</f>
        <v>0</v>
      </c>
      <c r="T152" s="10"/>
      <c r="U152" s="10"/>
      <c r="V152" s="10"/>
      <c r="W152" s="10"/>
      <c r="X152" s="10"/>
      <c r="Z152" s="1"/>
      <c r="AB152" s="1"/>
      <c r="AF152" s="1"/>
      <c r="AJ152" s="1"/>
      <c r="AL152" s="1"/>
    </row>
    <row r="153" spans="1:38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1"/>
      <c r="M153" s="11"/>
      <c r="N153" s="12"/>
      <c r="O153" s="12"/>
      <c r="P153" s="10"/>
      <c r="Q153" s="10"/>
      <c r="R153" s="10"/>
      <c r="S153" s="13">
        <f>SUM(Table3[[#This Row],[Female ( age less than 17)]:[Male ( More than 18)2]])</f>
        <v>0</v>
      </c>
      <c r="T153" s="10"/>
      <c r="U153" s="10"/>
      <c r="V153" s="10"/>
      <c r="W153" s="10"/>
      <c r="X153" s="10"/>
      <c r="Z153" s="1"/>
      <c r="AB153" s="1"/>
      <c r="AF153" s="1"/>
      <c r="AJ153" s="1"/>
      <c r="AL153" s="1"/>
    </row>
    <row r="154" spans="1:38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1"/>
      <c r="M154" s="11"/>
      <c r="N154" s="12"/>
      <c r="O154" s="12"/>
      <c r="P154" s="10"/>
      <c r="Q154" s="10"/>
      <c r="R154" s="10"/>
      <c r="S154" s="13">
        <f>SUM(Table3[[#This Row],[Female ( age less than 17)]:[Male ( More than 18)2]])</f>
        <v>0</v>
      </c>
      <c r="T154" s="10"/>
      <c r="U154" s="10"/>
      <c r="V154" s="10"/>
      <c r="W154" s="10"/>
      <c r="X154" s="10"/>
      <c r="Z154" s="1"/>
      <c r="AB154" s="1"/>
      <c r="AF154" s="1"/>
      <c r="AJ154" s="1"/>
      <c r="AL154" s="1"/>
    </row>
    <row r="155" spans="1:38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1"/>
      <c r="M155" s="11"/>
      <c r="N155" s="12"/>
      <c r="O155" s="12"/>
      <c r="P155" s="10"/>
      <c r="Q155" s="10"/>
      <c r="R155" s="10"/>
      <c r="S155" s="13">
        <f>SUM(Table3[[#This Row],[Female ( age less than 17)]:[Male ( More than 18)2]])</f>
        <v>0</v>
      </c>
      <c r="T155" s="10"/>
      <c r="U155" s="10"/>
      <c r="V155" s="10"/>
      <c r="W155" s="10"/>
      <c r="X155" s="10"/>
      <c r="Z155" s="1"/>
      <c r="AB155" s="1"/>
      <c r="AF155" s="1"/>
      <c r="AJ155" s="1"/>
      <c r="AL155" s="1"/>
    </row>
    <row r="156" spans="1:38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1"/>
      <c r="M156" s="11"/>
      <c r="N156" s="12"/>
      <c r="O156" s="12"/>
      <c r="P156" s="10"/>
      <c r="Q156" s="10"/>
      <c r="R156" s="10"/>
      <c r="S156" s="13">
        <f>SUM(Table3[[#This Row],[Female ( age less than 17)]:[Male ( More than 18)2]])</f>
        <v>0</v>
      </c>
      <c r="T156" s="10"/>
      <c r="U156" s="10"/>
      <c r="V156" s="10"/>
      <c r="W156" s="10"/>
      <c r="X156" s="10"/>
      <c r="Z156" s="1"/>
      <c r="AB156" s="1"/>
      <c r="AF156" s="1"/>
      <c r="AJ156" s="1"/>
      <c r="AL156" s="1"/>
    </row>
    <row r="157" spans="1:38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1"/>
      <c r="M157" s="11"/>
      <c r="N157" s="12"/>
      <c r="O157" s="12"/>
      <c r="P157" s="10"/>
      <c r="Q157" s="10"/>
      <c r="R157" s="10"/>
      <c r="S157" s="13">
        <f>SUM(Table3[[#This Row],[Female ( age less than 17)]:[Male ( More than 18)2]])</f>
        <v>0</v>
      </c>
      <c r="T157" s="10"/>
      <c r="U157" s="10"/>
      <c r="V157" s="10"/>
      <c r="W157" s="10"/>
      <c r="X157" s="10"/>
      <c r="Z157" s="1"/>
      <c r="AB157" s="1"/>
      <c r="AF157" s="1"/>
      <c r="AJ157" s="1"/>
      <c r="AL157" s="1"/>
    </row>
    <row r="158" spans="1:38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1"/>
      <c r="M158" s="11"/>
      <c r="N158" s="12"/>
      <c r="O158" s="12"/>
      <c r="P158" s="10"/>
      <c r="Q158" s="10"/>
      <c r="R158" s="10"/>
      <c r="S158" s="13">
        <f>SUM(Table3[[#This Row],[Female ( age less than 17)]:[Male ( More than 18)2]])</f>
        <v>0</v>
      </c>
      <c r="T158" s="10"/>
      <c r="U158" s="10"/>
      <c r="V158" s="10"/>
      <c r="W158" s="10"/>
      <c r="X158" s="10"/>
      <c r="Z158" s="1"/>
      <c r="AB158" s="1"/>
      <c r="AF158" s="1"/>
      <c r="AJ158" s="1"/>
      <c r="AL158" s="1"/>
    </row>
    <row r="159" spans="1:38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1"/>
      <c r="M159" s="11"/>
      <c r="N159" s="12"/>
      <c r="O159" s="12"/>
      <c r="P159" s="10"/>
      <c r="Q159" s="10"/>
      <c r="R159" s="10"/>
      <c r="S159" s="13">
        <f>SUM(Table3[[#This Row],[Female ( age less than 17)]:[Male ( More than 18)2]])</f>
        <v>0</v>
      </c>
      <c r="T159" s="10"/>
      <c r="U159" s="10"/>
      <c r="V159" s="10"/>
      <c r="W159" s="10"/>
      <c r="X159" s="10"/>
      <c r="Z159" s="1"/>
      <c r="AB159" s="1"/>
      <c r="AF159" s="1"/>
      <c r="AJ159" s="1"/>
      <c r="AL159" s="1"/>
    </row>
    <row r="160" spans="1:38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1"/>
      <c r="M160" s="11"/>
      <c r="N160" s="12"/>
      <c r="O160" s="12"/>
      <c r="P160" s="10"/>
      <c r="Q160" s="10"/>
      <c r="R160" s="10"/>
      <c r="S160" s="13">
        <f>SUM(Table3[[#This Row],[Female ( age less than 17)]:[Male ( More than 18)2]])</f>
        <v>0</v>
      </c>
      <c r="T160" s="10"/>
      <c r="U160" s="10"/>
      <c r="V160" s="10"/>
      <c r="W160" s="10"/>
      <c r="X160" s="10"/>
      <c r="Z160" s="1"/>
      <c r="AB160" s="1"/>
      <c r="AF160" s="1"/>
      <c r="AJ160" s="1"/>
      <c r="AL160" s="1"/>
    </row>
    <row r="161" spans="1:38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1"/>
      <c r="M161" s="11"/>
      <c r="N161" s="12"/>
      <c r="O161" s="12"/>
      <c r="P161" s="10"/>
      <c r="Q161" s="10"/>
      <c r="R161" s="10"/>
      <c r="S161" s="13">
        <f>SUM(Table3[[#This Row],[Female ( age less than 17)]:[Male ( More than 18)2]])</f>
        <v>0</v>
      </c>
      <c r="T161" s="10"/>
      <c r="U161" s="10"/>
      <c r="V161" s="10"/>
      <c r="W161" s="10"/>
      <c r="X161" s="10"/>
      <c r="Z161" s="1"/>
      <c r="AB161" s="1"/>
      <c r="AF161" s="1"/>
      <c r="AJ161" s="1"/>
      <c r="AL161" s="1"/>
    </row>
    <row r="162" spans="1:38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1"/>
      <c r="M162" s="11"/>
      <c r="N162" s="12"/>
      <c r="O162" s="12"/>
      <c r="P162" s="10"/>
      <c r="Q162" s="10"/>
      <c r="R162" s="10"/>
      <c r="S162" s="13">
        <f>SUM(Table3[[#This Row],[Female ( age less than 17)]:[Male ( More than 18)2]])</f>
        <v>0</v>
      </c>
      <c r="T162" s="10"/>
      <c r="U162" s="10"/>
      <c r="V162" s="10"/>
      <c r="W162" s="10"/>
      <c r="X162" s="10"/>
      <c r="Z162" s="1"/>
      <c r="AB162" s="1"/>
      <c r="AF162" s="1"/>
      <c r="AJ162" s="1"/>
      <c r="AL162" s="1"/>
    </row>
    <row r="163" spans="1:38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1"/>
      <c r="M163" s="11"/>
      <c r="N163" s="12"/>
      <c r="O163" s="12"/>
      <c r="P163" s="10"/>
      <c r="Q163" s="10"/>
      <c r="R163" s="10"/>
      <c r="S163" s="13">
        <f>SUM(Table3[[#This Row],[Female ( age less than 17)]:[Male ( More than 18)2]])</f>
        <v>0</v>
      </c>
      <c r="T163" s="10"/>
      <c r="U163" s="10"/>
      <c r="V163" s="10"/>
      <c r="W163" s="10"/>
      <c r="X163" s="10"/>
      <c r="Z163" s="1"/>
      <c r="AB163" s="1"/>
      <c r="AF163" s="1"/>
      <c r="AJ163" s="1"/>
      <c r="AL163" s="1"/>
    </row>
    <row r="164" spans="1:38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1"/>
      <c r="M164" s="11"/>
      <c r="N164" s="12"/>
      <c r="O164" s="12"/>
      <c r="P164" s="10"/>
      <c r="Q164" s="10"/>
      <c r="R164" s="10"/>
      <c r="S164" s="13">
        <f>SUM(Table3[[#This Row],[Female ( age less than 17)]:[Male ( More than 18)2]])</f>
        <v>0</v>
      </c>
      <c r="T164" s="10"/>
      <c r="U164" s="10"/>
      <c r="V164" s="10"/>
      <c r="W164" s="10"/>
      <c r="X164" s="10"/>
      <c r="Z164" s="1"/>
      <c r="AB164" s="1"/>
      <c r="AF164" s="1"/>
      <c r="AJ164" s="1"/>
      <c r="AL164" s="1"/>
    </row>
    <row r="165" spans="1:38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1"/>
      <c r="M165" s="11"/>
      <c r="N165" s="12"/>
      <c r="O165" s="12"/>
      <c r="P165" s="10"/>
      <c r="Q165" s="10"/>
      <c r="R165" s="10"/>
      <c r="S165" s="13">
        <f>SUM(Table3[[#This Row],[Female ( age less than 17)]:[Male ( More than 18)2]])</f>
        <v>0</v>
      </c>
      <c r="T165" s="10"/>
      <c r="U165" s="10"/>
      <c r="V165" s="10"/>
      <c r="W165" s="10"/>
      <c r="X165" s="10"/>
      <c r="Z165" s="1"/>
      <c r="AB165" s="1"/>
      <c r="AF165" s="1"/>
      <c r="AJ165" s="1"/>
      <c r="AL165" s="1"/>
    </row>
    <row r="166" spans="1:38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1"/>
      <c r="M166" s="11"/>
      <c r="N166" s="12"/>
      <c r="O166" s="12"/>
      <c r="P166" s="10"/>
      <c r="Q166" s="10"/>
      <c r="R166" s="10"/>
      <c r="S166" s="13">
        <f>SUM(Table3[[#This Row],[Female ( age less than 17)]:[Male ( More than 18)2]])</f>
        <v>0</v>
      </c>
      <c r="T166" s="10"/>
      <c r="U166" s="10"/>
      <c r="V166" s="10"/>
      <c r="W166" s="10"/>
      <c r="X166" s="10"/>
      <c r="Z166" s="1"/>
      <c r="AB166" s="1"/>
      <c r="AF166" s="1"/>
      <c r="AJ166" s="1"/>
      <c r="AL166" s="1"/>
    </row>
    <row r="167" spans="1:38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1"/>
      <c r="M167" s="11"/>
      <c r="N167" s="12"/>
      <c r="O167" s="12"/>
      <c r="P167" s="10"/>
      <c r="Q167" s="10"/>
      <c r="R167" s="10"/>
      <c r="S167" s="13">
        <f>SUM(Table3[[#This Row],[Female ( age less than 17)]:[Male ( More than 18)2]])</f>
        <v>0</v>
      </c>
      <c r="T167" s="10"/>
      <c r="U167" s="10"/>
      <c r="V167" s="10"/>
      <c r="W167" s="10"/>
      <c r="X167" s="10"/>
      <c r="Z167" s="1"/>
      <c r="AB167" s="1"/>
      <c r="AF167" s="1"/>
      <c r="AJ167" s="1"/>
      <c r="AL167" s="1"/>
    </row>
    <row r="168" spans="1:38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1"/>
      <c r="M168" s="11"/>
      <c r="N168" s="12"/>
      <c r="O168" s="12"/>
      <c r="P168" s="10"/>
      <c r="Q168" s="10"/>
      <c r="R168" s="10"/>
      <c r="S168" s="13">
        <f>SUM(Table3[[#This Row],[Female ( age less than 17)]:[Male ( More than 18)2]])</f>
        <v>0</v>
      </c>
      <c r="T168" s="10"/>
      <c r="U168" s="10"/>
      <c r="V168" s="10"/>
      <c r="W168" s="10"/>
      <c r="X168" s="10"/>
      <c r="Z168" s="1"/>
      <c r="AB168" s="1"/>
      <c r="AF168" s="1"/>
      <c r="AJ168" s="1"/>
      <c r="AL168" s="1"/>
    </row>
    <row r="169" spans="1:38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1"/>
      <c r="N169" s="12"/>
      <c r="O169" s="12"/>
      <c r="P169" s="10"/>
      <c r="Q169" s="10"/>
      <c r="R169" s="10"/>
      <c r="S169" s="13">
        <f>SUM(Table3[[#This Row],[Female ( age less than 17)]:[Male ( More than 18)2]])</f>
        <v>0</v>
      </c>
      <c r="T169" s="10"/>
      <c r="U169" s="10"/>
      <c r="V169" s="10"/>
      <c r="W169" s="10"/>
      <c r="X169" s="10"/>
      <c r="Z169" s="1"/>
      <c r="AB169" s="1"/>
      <c r="AF169" s="1"/>
      <c r="AJ169" s="1"/>
      <c r="AL169" s="1"/>
    </row>
    <row r="170" spans="1:38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1"/>
      <c r="M170" s="11"/>
      <c r="N170" s="12"/>
      <c r="O170" s="12"/>
      <c r="P170" s="10"/>
      <c r="Q170" s="10"/>
      <c r="R170" s="10"/>
      <c r="S170" s="13">
        <f>SUM(Table3[[#This Row],[Female ( age less than 17)]:[Male ( More than 18)2]])</f>
        <v>0</v>
      </c>
      <c r="T170" s="10"/>
      <c r="U170" s="10"/>
      <c r="V170" s="10"/>
      <c r="W170" s="10"/>
      <c r="X170" s="10"/>
      <c r="Z170" s="1"/>
      <c r="AB170" s="1"/>
      <c r="AF170" s="1"/>
      <c r="AJ170" s="1"/>
      <c r="AL170" s="1"/>
    </row>
    <row r="171" spans="1:38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1"/>
      <c r="M171" s="11"/>
      <c r="N171" s="12"/>
      <c r="O171" s="12"/>
      <c r="P171" s="10"/>
      <c r="Q171" s="10"/>
      <c r="R171" s="10"/>
      <c r="S171" s="13">
        <f>SUM(Table3[[#This Row],[Female ( age less than 17)]:[Male ( More than 18)2]])</f>
        <v>0</v>
      </c>
      <c r="T171" s="10"/>
      <c r="U171" s="10"/>
      <c r="V171" s="10"/>
      <c r="W171" s="10"/>
      <c r="X171" s="10"/>
      <c r="Z171" s="1"/>
      <c r="AB171" s="1"/>
      <c r="AF171" s="1"/>
      <c r="AJ171" s="1"/>
      <c r="AL171" s="1"/>
    </row>
    <row r="172" spans="1:38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1"/>
      <c r="M172" s="11"/>
      <c r="N172" s="12"/>
      <c r="O172" s="12"/>
      <c r="P172" s="10"/>
      <c r="Q172" s="10"/>
      <c r="R172" s="10"/>
      <c r="S172" s="13">
        <f>SUM(Table3[[#This Row],[Female ( age less than 17)]:[Male ( More than 18)2]])</f>
        <v>0</v>
      </c>
      <c r="T172" s="10"/>
      <c r="U172" s="10"/>
      <c r="V172" s="10"/>
      <c r="W172" s="10"/>
      <c r="X172" s="10"/>
      <c r="Z172" s="1"/>
      <c r="AB172" s="1"/>
      <c r="AF172" s="1"/>
      <c r="AJ172" s="1"/>
      <c r="AL172" s="1"/>
    </row>
    <row r="173" spans="1:38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1"/>
      <c r="M173" s="11"/>
      <c r="N173" s="12"/>
      <c r="O173" s="12"/>
      <c r="P173" s="10"/>
      <c r="Q173" s="10"/>
      <c r="R173" s="10"/>
      <c r="S173" s="13">
        <f>SUM(Table3[[#This Row],[Female ( age less than 17)]:[Male ( More than 18)2]])</f>
        <v>0</v>
      </c>
      <c r="T173" s="10"/>
      <c r="U173" s="10"/>
      <c r="V173" s="10"/>
      <c r="W173" s="10"/>
      <c r="X173" s="10"/>
      <c r="Z173" s="1"/>
      <c r="AB173" s="1"/>
      <c r="AF173" s="1"/>
      <c r="AJ173" s="1"/>
      <c r="AL173" s="1"/>
    </row>
    <row r="174" spans="1:38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1"/>
      <c r="M174" s="11"/>
      <c r="N174" s="12"/>
      <c r="O174" s="12"/>
      <c r="P174" s="10"/>
      <c r="Q174" s="10"/>
      <c r="R174" s="10"/>
      <c r="S174" s="13">
        <f>SUM(Table3[[#This Row],[Female ( age less than 17)]:[Male ( More than 18)2]])</f>
        <v>0</v>
      </c>
      <c r="T174" s="10"/>
      <c r="U174" s="10"/>
      <c r="V174" s="10"/>
      <c r="W174" s="10"/>
      <c r="X174" s="10"/>
      <c r="Z174" s="1"/>
      <c r="AB174" s="1"/>
      <c r="AF174" s="1"/>
      <c r="AJ174" s="1"/>
      <c r="AL174" s="1"/>
    </row>
    <row r="175" spans="1:38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1"/>
      <c r="M175" s="11"/>
      <c r="N175" s="12"/>
      <c r="O175" s="12"/>
      <c r="P175" s="10"/>
      <c r="Q175" s="10"/>
      <c r="R175" s="10"/>
      <c r="S175" s="13">
        <f>SUM(Table3[[#This Row],[Female ( age less than 17)]:[Male ( More than 18)2]])</f>
        <v>0</v>
      </c>
      <c r="T175" s="10"/>
      <c r="U175" s="10"/>
      <c r="V175" s="10"/>
      <c r="W175" s="10"/>
      <c r="X175" s="10"/>
      <c r="Z175" s="1"/>
      <c r="AB175" s="1"/>
      <c r="AF175" s="1"/>
      <c r="AJ175" s="1"/>
      <c r="AL175" s="1"/>
    </row>
    <row r="176" spans="1:38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1"/>
      <c r="M176" s="11"/>
      <c r="N176" s="12"/>
      <c r="O176" s="12"/>
      <c r="P176" s="10"/>
      <c r="Q176" s="10"/>
      <c r="R176" s="10"/>
      <c r="S176" s="13">
        <f>SUM(Table3[[#This Row],[Female ( age less than 17)]:[Male ( More than 18)2]])</f>
        <v>0</v>
      </c>
      <c r="T176" s="10"/>
      <c r="U176" s="10"/>
      <c r="V176" s="10"/>
      <c r="W176" s="10"/>
      <c r="X176" s="10"/>
      <c r="Z176" s="1"/>
      <c r="AB176" s="1"/>
      <c r="AF176" s="1"/>
      <c r="AJ176" s="1"/>
      <c r="AL176" s="1"/>
    </row>
    <row r="177" spans="1:38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1"/>
      <c r="M177" s="11"/>
      <c r="N177" s="12"/>
      <c r="O177" s="12"/>
      <c r="P177" s="10"/>
      <c r="Q177" s="10"/>
      <c r="R177" s="10"/>
      <c r="S177" s="13">
        <f>SUM(Table3[[#This Row],[Female ( age less than 17)]:[Male ( More than 18)2]])</f>
        <v>0</v>
      </c>
      <c r="T177" s="10"/>
      <c r="U177" s="10"/>
      <c r="V177" s="10"/>
      <c r="W177" s="10"/>
      <c r="X177" s="10"/>
      <c r="Z177" s="1"/>
      <c r="AB177" s="1"/>
      <c r="AF177" s="1"/>
      <c r="AJ177" s="1"/>
      <c r="AL177" s="1"/>
    </row>
    <row r="178" spans="1:38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1"/>
      <c r="M178" s="11"/>
      <c r="N178" s="12"/>
      <c r="O178" s="12"/>
      <c r="P178" s="10"/>
      <c r="Q178" s="10"/>
      <c r="R178" s="10"/>
      <c r="S178" s="13">
        <f>SUM(Table3[[#This Row],[Female ( age less than 17)]:[Male ( More than 18)2]])</f>
        <v>0</v>
      </c>
      <c r="T178" s="10"/>
      <c r="U178" s="10"/>
      <c r="V178" s="10"/>
      <c r="W178" s="10"/>
      <c r="X178" s="10"/>
      <c r="Z178" s="1"/>
      <c r="AB178" s="1"/>
      <c r="AF178" s="1"/>
      <c r="AJ178" s="1"/>
      <c r="AL178" s="1"/>
    </row>
    <row r="179" spans="1:38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1"/>
      <c r="M179" s="11"/>
      <c r="N179" s="12"/>
      <c r="O179" s="12"/>
      <c r="P179" s="10"/>
      <c r="Q179" s="10"/>
      <c r="R179" s="10"/>
      <c r="S179" s="13">
        <f>SUM(Table3[[#This Row],[Female ( age less than 17)]:[Male ( More than 18)2]])</f>
        <v>0</v>
      </c>
      <c r="T179" s="10"/>
      <c r="U179" s="10"/>
      <c r="V179" s="10"/>
      <c r="W179" s="10"/>
      <c r="X179" s="10"/>
      <c r="Z179" s="1"/>
      <c r="AB179" s="1"/>
      <c r="AF179" s="1"/>
      <c r="AJ179" s="1"/>
      <c r="AL179" s="1"/>
    </row>
    <row r="180" spans="1:38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1"/>
      <c r="M180" s="11"/>
      <c r="N180" s="12"/>
      <c r="O180" s="12"/>
      <c r="P180" s="10"/>
      <c r="Q180" s="10"/>
      <c r="R180" s="10"/>
      <c r="S180" s="13">
        <f>SUM(Table3[[#This Row],[Female ( age less than 17)]:[Male ( More than 18)2]])</f>
        <v>0</v>
      </c>
      <c r="T180" s="10"/>
      <c r="U180" s="10"/>
      <c r="V180" s="10"/>
      <c r="W180" s="10"/>
      <c r="X180" s="10"/>
      <c r="Z180" s="1"/>
      <c r="AB180" s="1"/>
      <c r="AF180" s="1"/>
      <c r="AJ180" s="1"/>
      <c r="AL180" s="1"/>
    </row>
    <row r="181" spans="1:38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1"/>
      <c r="M181" s="11"/>
      <c r="N181" s="12"/>
      <c r="O181" s="12"/>
      <c r="P181" s="10"/>
      <c r="Q181" s="10"/>
      <c r="R181" s="10"/>
      <c r="S181" s="13">
        <f>SUM(Table3[[#This Row],[Female ( age less than 17)]:[Male ( More than 18)2]])</f>
        <v>0</v>
      </c>
      <c r="T181" s="10"/>
      <c r="U181" s="10"/>
      <c r="V181" s="10"/>
      <c r="W181" s="10"/>
      <c r="X181" s="10"/>
      <c r="Z181" s="1"/>
      <c r="AB181" s="1"/>
      <c r="AF181" s="1"/>
      <c r="AJ181" s="1"/>
      <c r="AL181" s="1"/>
    </row>
    <row r="182" spans="1:38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1"/>
      <c r="M182" s="11"/>
      <c r="N182" s="12"/>
      <c r="O182" s="12"/>
      <c r="P182" s="10"/>
      <c r="Q182" s="10"/>
      <c r="R182" s="10"/>
      <c r="S182" s="13">
        <f>SUM(Table3[[#This Row],[Female ( age less than 17)]:[Male ( More than 18)2]])</f>
        <v>0</v>
      </c>
      <c r="T182" s="10"/>
      <c r="U182" s="10"/>
      <c r="V182" s="10"/>
      <c r="W182" s="10"/>
      <c r="X182" s="10"/>
      <c r="Z182" s="1"/>
      <c r="AB182" s="1"/>
      <c r="AF182" s="1"/>
      <c r="AJ182" s="1"/>
      <c r="AL182" s="1"/>
    </row>
    <row r="183" spans="1:38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1"/>
      <c r="M183" s="11"/>
      <c r="N183" s="12"/>
      <c r="O183" s="12"/>
      <c r="P183" s="10"/>
      <c r="Q183" s="10"/>
      <c r="R183" s="10"/>
      <c r="S183" s="13">
        <f>SUM(Table3[[#This Row],[Female ( age less than 17)]:[Male ( More than 18)2]])</f>
        <v>0</v>
      </c>
      <c r="T183" s="10"/>
      <c r="U183" s="10"/>
      <c r="V183" s="10"/>
      <c r="W183" s="10"/>
      <c r="X183" s="10"/>
      <c r="Z183" s="1"/>
      <c r="AB183" s="1"/>
      <c r="AF183" s="1"/>
      <c r="AJ183" s="1"/>
      <c r="AL183" s="1"/>
    </row>
    <row r="184" spans="1:38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1"/>
      <c r="M184" s="11"/>
      <c r="N184" s="12"/>
      <c r="O184" s="12"/>
      <c r="P184" s="10"/>
      <c r="Q184" s="10"/>
      <c r="R184" s="10"/>
      <c r="S184" s="13">
        <f>SUM(Table3[[#This Row],[Female ( age less than 17)]:[Male ( More than 18)2]])</f>
        <v>0</v>
      </c>
      <c r="T184" s="10"/>
      <c r="U184" s="10"/>
      <c r="V184" s="10"/>
      <c r="W184" s="10"/>
      <c r="X184" s="10"/>
      <c r="Z184" s="1"/>
      <c r="AB184" s="1"/>
      <c r="AF184" s="1"/>
      <c r="AJ184" s="1"/>
      <c r="AL184" s="1"/>
    </row>
    <row r="185" spans="1:38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1"/>
      <c r="M185" s="11"/>
      <c r="N185" s="12"/>
      <c r="O185" s="12"/>
      <c r="P185" s="10"/>
      <c r="Q185" s="10"/>
      <c r="R185" s="10"/>
      <c r="S185" s="13">
        <f>SUM(Table3[[#This Row],[Female ( age less than 17)]:[Male ( More than 18)2]])</f>
        <v>0</v>
      </c>
      <c r="T185" s="10"/>
      <c r="U185" s="10"/>
      <c r="V185" s="10"/>
      <c r="W185" s="10"/>
      <c r="X185" s="10"/>
      <c r="Z185" s="1"/>
      <c r="AB185" s="1"/>
      <c r="AF185" s="1"/>
      <c r="AJ185" s="1"/>
      <c r="AL185" s="1"/>
    </row>
    <row r="186" spans="1:38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1"/>
      <c r="M186" s="11"/>
      <c r="N186" s="12"/>
      <c r="O186" s="12"/>
      <c r="P186" s="10"/>
      <c r="Q186" s="10"/>
      <c r="R186" s="10"/>
      <c r="S186" s="13">
        <f>SUM(Table3[[#This Row],[Female ( age less than 17)]:[Male ( More than 18)2]])</f>
        <v>0</v>
      </c>
      <c r="T186" s="10"/>
      <c r="U186" s="10"/>
      <c r="V186" s="10"/>
      <c r="W186" s="10"/>
      <c r="X186" s="10"/>
      <c r="Z186" s="1"/>
      <c r="AB186" s="1"/>
      <c r="AF186" s="1"/>
      <c r="AJ186" s="1"/>
      <c r="AL186" s="1"/>
    </row>
    <row r="187" spans="1:38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1"/>
      <c r="M187" s="11"/>
      <c r="N187" s="12"/>
      <c r="O187" s="12"/>
      <c r="P187" s="10"/>
      <c r="Q187" s="10"/>
      <c r="R187" s="10"/>
      <c r="S187" s="13">
        <f>SUM(Table3[[#This Row],[Female ( age less than 17)]:[Male ( More than 18)2]])</f>
        <v>0</v>
      </c>
      <c r="T187" s="10"/>
      <c r="U187" s="10"/>
      <c r="V187" s="10"/>
      <c r="W187" s="10"/>
      <c r="X187" s="10"/>
      <c r="Z187" s="1"/>
      <c r="AB187" s="1"/>
      <c r="AF187" s="1"/>
      <c r="AJ187" s="1"/>
      <c r="AL187" s="1"/>
    </row>
    <row r="188" spans="1:38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1"/>
      <c r="M188" s="11"/>
      <c r="N188" s="12"/>
      <c r="O188" s="12"/>
      <c r="P188" s="10"/>
      <c r="Q188" s="10"/>
      <c r="R188" s="10"/>
      <c r="S188" s="13">
        <f>SUM(Table3[[#This Row],[Female ( age less than 17)]:[Male ( More than 18)2]])</f>
        <v>0</v>
      </c>
      <c r="T188" s="10"/>
      <c r="U188" s="10"/>
      <c r="V188" s="10"/>
      <c r="W188" s="10"/>
      <c r="X188" s="10"/>
      <c r="Z188" s="1"/>
      <c r="AB188" s="1"/>
      <c r="AF188" s="1"/>
      <c r="AJ188" s="1"/>
      <c r="AL188" s="1"/>
    </row>
    <row r="189" spans="1:38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1"/>
      <c r="M189" s="11"/>
      <c r="N189" s="12"/>
      <c r="O189" s="12"/>
      <c r="P189" s="10"/>
      <c r="Q189" s="10"/>
      <c r="R189" s="10"/>
      <c r="S189" s="13">
        <f>SUM(Table3[[#This Row],[Female ( age less than 17)]:[Male ( More than 18)2]])</f>
        <v>0</v>
      </c>
      <c r="T189" s="10"/>
      <c r="U189" s="10"/>
      <c r="V189" s="10"/>
      <c r="W189" s="10"/>
      <c r="X189" s="10"/>
      <c r="Z189" s="1"/>
      <c r="AB189" s="1"/>
      <c r="AF189" s="1"/>
      <c r="AJ189" s="1"/>
      <c r="AL189" s="1"/>
    </row>
    <row r="190" spans="1:38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1"/>
      <c r="M190" s="11"/>
      <c r="N190" s="12"/>
      <c r="O190" s="12"/>
      <c r="P190" s="10"/>
      <c r="Q190" s="10"/>
      <c r="R190" s="10"/>
      <c r="S190" s="13">
        <f>SUM(Table3[[#This Row],[Female ( age less than 17)]:[Male ( More than 18)2]])</f>
        <v>0</v>
      </c>
      <c r="T190" s="10"/>
      <c r="U190" s="10"/>
      <c r="V190" s="10"/>
      <c r="W190" s="10"/>
      <c r="X190" s="10"/>
      <c r="Z190" s="1"/>
      <c r="AB190" s="1"/>
      <c r="AF190" s="1"/>
      <c r="AJ190" s="1"/>
      <c r="AL190" s="1"/>
    </row>
    <row r="191" spans="1:38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1"/>
      <c r="M191" s="11"/>
      <c r="N191" s="12"/>
      <c r="O191" s="12"/>
      <c r="P191" s="10"/>
      <c r="Q191" s="10"/>
      <c r="R191" s="10"/>
      <c r="S191" s="13">
        <f>SUM(Table3[[#This Row],[Female ( age less than 17)]:[Male ( More than 18)2]])</f>
        <v>0</v>
      </c>
      <c r="T191" s="10"/>
      <c r="U191" s="10"/>
      <c r="V191" s="10"/>
      <c r="W191" s="10"/>
      <c r="X191" s="10"/>
      <c r="Z191" s="1"/>
      <c r="AB191" s="1"/>
      <c r="AF191" s="1"/>
      <c r="AJ191" s="1"/>
      <c r="AL191" s="1"/>
    </row>
    <row r="192" spans="1:38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1"/>
      <c r="M192" s="11"/>
      <c r="N192" s="12"/>
      <c r="O192" s="12"/>
      <c r="P192" s="10"/>
      <c r="Q192" s="10"/>
      <c r="R192" s="10"/>
      <c r="S192" s="13">
        <f>SUM(Table3[[#This Row],[Female ( age less than 17)]:[Male ( More than 18)2]])</f>
        <v>0</v>
      </c>
      <c r="T192" s="10"/>
      <c r="U192" s="10"/>
      <c r="V192" s="10"/>
      <c r="W192" s="10"/>
      <c r="X192" s="10"/>
      <c r="Z192" s="1"/>
      <c r="AB192" s="1"/>
      <c r="AF192" s="1"/>
      <c r="AJ192" s="1"/>
      <c r="AL192" s="1"/>
    </row>
    <row r="193" spans="1:38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1"/>
      <c r="M193" s="11"/>
      <c r="N193" s="12"/>
      <c r="O193" s="12"/>
      <c r="P193" s="10"/>
      <c r="Q193" s="10"/>
      <c r="R193" s="10"/>
      <c r="S193" s="13">
        <f>SUM(Table3[[#This Row],[Female ( age less than 17)]:[Male ( More than 18)2]])</f>
        <v>0</v>
      </c>
      <c r="T193" s="10"/>
      <c r="U193" s="10"/>
      <c r="V193" s="10"/>
      <c r="W193" s="10"/>
      <c r="X193" s="10"/>
      <c r="Z193" s="1"/>
      <c r="AB193" s="1"/>
      <c r="AF193" s="1"/>
      <c r="AJ193" s="1"/>
      <c r="AL193" s="1"/>
    </row>
    <row r="194" spans="1:38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1"/>
      <c r="M194" s="11"/>
      <c r="N194" s="12"/>
      <c r="O194" s="12"/>
      <c r="P194" s="10"/>
      <c r="Q194" s="10"/>
      <c r="R194" s="10"/>
      <c r="S194" s="13">
        <f>SUM(Table3[[#This Row],[Female ( age less than 17)]:[Male ( More than 18)2]])</f>
        <v>0</v>
      </c>
      <c r="T194" s="10"/>
      <c r="U194" s="10"/>
      <c r="V194" s="10"/>
      <c r="W194" s="10"/>
      <c r="X194" s="10"/>
      <c r="Z194" s="1"/>
      <c r="AB194" s="1"/>
      <c r="AF194" s="1"/>
      <c r="AJ194" s="1"/>
      <c r="AL194" s="1"/>
    </row>
    <row r="195" spans="1:38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1"/>
      <c r="M195" s="11"/>
      <c r="N195" s="12"/>
      <c r="O195" s="12"/>
      <c r="P195" s="10"/>
      <c r="Q195" s="10"/>
      <c r="R195" s="10"/>
      <c r="S195" s="13">
        <f>SUM(Table3[[#This Row],[Female ( age less than 17)]:[Male ( More than 18)2]])</f>
        <v>0</v>
      </c>
      <c r="T195" s="10"/>
      <c r="U195" s="10"/>
      <c r="V195" s="10"/>
      <c r="W195" s="10"/>
      <c r="X195" s="10"/>
      <c r="Z195" s="1"/>
      <c r="AB195" s="1"/>
      <c r="AF195" s="1"/>
      <c r="AJ195" s="1"/>
      <c r="AL195" s="1"/>
    </row>
    <row r="196" spans="1:38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1"/>
      <c r="M196" s="11"/>
      <c r="N196" s="12"/>
      <c r="O196" s="12"/>
      <c r="P196" s="10"/>
      <c r="Q196" s="10"/>
      <c r="R196" s="10"/>
      <c r="S196" s="13">
        <f>SUM(Table3[[#This Row],[Female ( age less than 17)]:[Male ( More than 18)2]])</f>
        <v>0</v>
      </c>
      <c r="T196" s="10"/>
      <c r="U196" s="10"/>
      <c r="V196" s="10"/>
      <c r="W196" s="10"/>
      <c r="X196" s="10"/>
      <c r="Z196" s="1"/>
      <c r="AB196" s="1"/>
      <c r="AF196" s="1"/>
      <c r="AJ196" s="1"/>
      <c r="AL196" s="1"/>
    </row>
    <row r="197" spans="1:38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1"/>
      <c r="M197" s="11"/>
      <c r="N197" s="12"/>
      <c r="O197" s="12"/>
      <c r="P197" s="10"/>
      <c r="Q197" s="10"/>
      <c r="R197" s="10"/>
      <c r="S197" s="13">
        <f>SUM(Table3[[#This Row],[Female ( age less than 17)]:[Male ( More than 18)2]])</f>
        <v>0</v>
      </c>
      <c r="T197" s="10"/>
      <c r="U197" s="10"/>
      <c r="V197" s="10"/>
      <c r="W197" s="10"/>
      <c r="X197" s="10"/>
      <c r="Z197" s="1"/>
      <c r="AB197" s="1"/>
      <c r="AF197" s="1"/>
      <c r="AJ197" s="1"/>
      <c r="AL197" s="1"/>
    </row>
    <row r="198" spans="1:38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1"/>
      <c r="M198" s="11"/>
      <c r="N198" s="12"/>
      <c r="O198" s="12"/>
      <c r="P198" s="10"/>
      <c r="Q198" s="10"/>
      <c r="R198" s="10"/>
      <c r="S198" s="13">
        <f>SUM(Table3[[#This Row],[Female ( age less than 17)]:[Male ( More than 18)2]])</f>
        <v>0</v>
      </c>
      <c r="T198" s="10"/>
      <c r="U198" s="10"/>
      <c r="V198" s="10"/>
      <c r="W198" s="10"/>
      <c r="X198" s="10"/>
      <c r="Z198" s="1"/>
      <c r="AB198" s="1"/>
      <c r="AF198" s="1"/>
      <c r="AJ198" s="1"/>
      <c r="AL198" s="1"/>
    </row>
    <row r="199" spans="1:38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1"/>
      <c r="M199" s="11"/>
      <c r="N199" s="12"/>
      <c r="O199" s="12"/>
      <c r="P199" s="10"/>
      <c r="Q199" s="10"/>
      <c r="R199" s="10"/>
      <c r="S199" s="13">
        <f>SUM(Table3[[#This Row],[Female ( age less than 17)]:[Male ( More than 18)2]])</f>
        <v>0</v>
      </c>
      <c r="T199" s="10"/>
      <c r="U199" s="10"/>
      <c r="V199" s="10"/>
      <c r="W199" s="10"/>
      <c r="X199" s="10"/>
      <c r="Z199" s="1"/>
      <c r="AB199" s="1"/>
      <c r="AF199" s="1"/>
      <c r="AJ199" s="1"/>
      <c r="AL199" s="1"/>
    </row>
    <row r="200" spans="1:38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1"/>
      <c r="M200" s="11"/>
      <c r="N200" s="12"/>
      <c r="O200" s="12"/>
      <c r="P200" s="10"/>
      <c r="Q200" s="10"/>
      <c r="R200" s="10"/>
      <c r="S200" s="13">
        <f>SUM(Table3[[#This Row],[Female ( age less than 17)]:[Male ( More than 18)2]])</f>
        <v>0</v>
      </c>
      <c r="T200" s="10"/>
      <c r="U200" s="10"/>
      <c r="V200" s="10"/>
      <c r="W200" s="10"/>
      <c r="X200" s="10"/>
      <c r="Z200" s="1"/>
      <c r="AB200" s="1"/>
      <c r="AF200" s="1"/>
      <c r="AJ200" s="1"/>
      <c r="AL200" s="1"/>
    </row>
    <row r="201" spans="1:38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1"/>
      <c r="M201" s="11"/>
      <c r="N201" s="12"/>
      <c r="O201" s="12"/>
      <c r="P201" s="10"/>
      <c r="Q201" s="10"/>
      <c r="R201" s="10"/>
      <c r="S201" s="13">
        <f>SUM(Table3[[#This Row],[Female ( age less than 17)]:[Male ( More than 18)2]])</f>
        <v>0</v>
      </c>
      <c r="T201" s="10"/>
      <c r="U201" s="10"/>
      <c r="V201" s="10"/>
      <c r="W201" s="10"/>
      <c r="X201" s="10"/>
      <c r="Z201" s="1"/>
      <c r="AB201" s="1"/>
      <c r="AF201" s="1"/>
      <c r="AJ201" s="1"/>
      <c r="AL201" s="1"/>
    </row>
    <row r="202" spans="1:38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1"/>
      <c r="M202" s="11"/>
      <c r="N202" s="12"/>
      <c r="O202" s="12"/>
      <c r="P202" s="10"/>
      <c r="Q202" s="10"/>
      <c r="R202" s="10"/>
      <c r="S202" s="13">
        <f>SUM(Table3[[#This Row],[Female ( age less than 17)]:[Male ( More than 18)2]])</f>
        <v>0</v>
      </c>
      <c r="T202" s="10"/>
      <c r="U202" s="10"/>
      <c r="V202" s="10"/>
      <c r="W202" s="10"/>
      <c r="X202" s="10"/>
      <c r="Z202" s="1"/>
      <c r="AB202" s="1"/>
      <c r="AF202" s="1"/>
      <c r="AJ202" s="1"/>
      <c r="AL202" s="1"/>
    </row>
    <row r="203" spans="1:38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1"/>
      <c r="M203" s="11"/>
      <c r="N203" s="12"/>
      <c r="O203" s="12"/>
      <c r="P203" s="10"/>
      <c r="Q203" s="10"/>
      <c r="R203" s="10"/>
      <c r="S203" s="13">
        <f>SUM(Table3[[#This Row],[Female ( age less than 17)]:[Male ( More than 18)2]])</f>
        <v>0</v>
      </c>
      <c r="T203" s="10"/>
      <c r="U203" s="10"/>
      <c r="V203" s="10"/>
      <c r="W203" s="10"/>
      <c r="X203" s="10"/>
      <c r="Z203" s="1"/>
      <c r="AB203" s="1"/>
      <c r="AF203" s="1"/>
      <c r="AJ203" s="1"/>
      <c r="AL203" s="1"/>
    </row>
    <row r="204" spans="1:38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1"/>
      <c r="M204" s="11"/>
      <c r="N204" s="12"/>
      <c r="O204" s="12"/>
      <c r="P204" s="10"/>
      <c r="Q204" s="10"/>
      <c r="R204" s="10"/>
      <c r="S204" s="13">
        <f>SUM(Table3[[#This Row],[Female ( age less than 17)]:[Male ( More than 18)2]])</f>
        <v>0</v>
      </c>
      <c r="T204" s="10"/>
      <c r="U204" s="10"/>
      <c r="V204" s="10"/>
      <c r="W204" s="10"/>
      <c r="X204" s="10"/>
      <c r="Z204" s="1"/>
      <c r="AB204" s="1"/>
      <c r="AF204" s="1"/>
      <c r="AJ204" s="1"/>
      <c r="AL204" s="1"/>
    </row>
    <row r="205" spans="1:38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1"/>
      <c r="M205" s="11"/>
      <c r="N205" s="12"/>
      <c r="O205" s="12"/>
      <c r="P205" s="10"/>
      <c r="Q205" s="10"/>
      <c r="R205" s="10"/>
      <c r="S205" s="13">
        <f>SUM(Table3[[#This Row],[Female ( age less than 17)]:[Male ( More than 18)2]])</f>
        <v>0</v>
      </c>
      <c r="T205" s="10"/>
      <c r="U205" s="10"/>
      <c r="V205" s="10"/>
      <c r="W205" s="10"/>
      <c r="X205" s="10"/>
      <c r="Z205" s="1"/>
      <c r="AB205" s="1"/>
      <c r="AF205" s="1"/>
      <c r="AJ205" s="1"/>
      <c r="AL205" s="1"/>
    </row>
    <row r="206" spans="1:38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1"/>
      <c r="M206" s="11"/>
      <c r="N206" s="12"/>
      <c r="O206" s="12"/>
      <c r="P206" s="10"/>
      <c r="Q206" s="10"/>
      <c r="R206" s="10"/>
      <c r="S206" s="13">
        <f>SUM(Table3[[#This Row],[Female ( age less than 17)]:[Male ( More than 18)2]])</f>
        <v>0</v>
      </c>
      <c r="T206" s="10"/>
      <c r="U206" s="10"/>
      <c r="V206" s="10"/>
      <c r="W206" s="10"/>
      <c r="X206" s="10"/>
      <c r="Z206" s="1"/>
      <c r="AB206" s="1"/>
      <c r="AF206" s="1"/>
      <c r="AJ206" s="1"/>
      <c r="AL206" s="1"/>
    </row>
    <row r="207" spans="1:38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1"/>
      <c r="M207" s="11"/>
      <c r="N207" s="12"/>
      <c r="O207" s="12"/>
      <c r="P207" s="10"/>
      <c r="Q207" s="10"/>
      <c r="R207" s="10"/>
      <c r="S207" s="13">
        <f>SUM(Table3[[#This Row],[Female ( age less than 17)]:[Male ( More than 18)2]])</f>
        <v>0</v>
      </c>
      <c r="T207" s="10"/>
      <c r="U207" s="10"/>
      <c r="V207" s="10"/>
      <c r="W207" s="10"/>
      <c r="X207" s="10"/>
      <c r="Z207" s="1"/>
      <c r="AB207" s="1"/>
      <c r="AF207" s="1"/>
      <c r="AJ207" s="1"/>
      <c r="AL207" s="1"/>
    </row>
    <row r="208" spans="1:38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1"/>
      <c r="M208" s="11"/>
      <c r="N208" s="12"/>
      <c r="O208" s="12"/>
      <c r="P208" s="10"/>
      <c r="Q208" s="10"/>
      <c r="R208" s="10"/>
      <c r="S208" s="13">
        <f>SUM(Table3[[#This Row],[Female ( age less than 17)]:[Male ( More than 18)2]])</f>
        <v>0</v>
      </c>
      <c r="T208" s="10"/>
      <c r="U208" s="10"/>
      <c r="V208" s="10"/>
      <c r="W208" s="10"/>
      <c r="X208" s="10"/>
      <c r="Z208" s="1"/>
      <c r="AB208" s="1"/>
      <c r="AF208" s="1"/>
      <c r="AJ208" s="1"/>
      <c r="AL208" s="1"/>
    </row>
    <row r="209" spans="1:38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1"/>
      <c r="N209" s="12"/>
      <c r="O209" s="12"/>
      <c r="P209" s="10"/>
      <c r="Q209" s="10"/>
      <c r="R209" s="10"/>
      <c r="S209" s="13">
        <f>SUM(Table3[[#This Row],[Female ( age less than 17)]:[Male ( More than 18)2]])</f>
        <v>0</v>
      </c>
      <c r="T209" s="10"/>
      <c r="U209" s="10"/>
      <c r="V209" s="10"/>
      <c r="W209" s="10"/>
      <c r="X209" s="10"/>
      <c r="Z209" s="1"/>
      <c r="AB209" s="1"/>
      <c r="AF209" s="1"/>
      <c r="AJ209" s="1"/>
      <c r="AL209" s="1"/>
    </row>
    <row r="210" spans="1:38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1"/>
      <c r="M210" s="11"/>
      <c r="N210" s="12"/>
      <c r="O210" s="12"/>
      <c r="P210" s="10"/>
      <c r="Q210" s="10"/>
      <c r="R210" s="10"/>
      <c r="S210" s="13">
        <f>SUM(Table3[[#This Row],[Female ( age less than 17)]:[Male ( More than 18)2]])</f>
        <v>0</v>
      </c>
      <c r="T210" s="10"/>
      <c r="U210" s="10"/>
      <c r="V210" s="10"/>
      <c r="W210" s="10"/>
      <c r="X210" s="10"/>
      <c r="Z210" s="1"/>
      <c r="AB210" s="1"/>
      <c r="AF210" s="1"/>
      <c r="AJ210" s="1"/>
      <c r="AL210" s="1"/>
    </row>
    <row r="211" spans="1:38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1"/>
      <c r="M211" s="11"/>
      <c r="N211" s="12"/>
      <c r="O211" s="12"/>
      <c r="P211" s="10"/>
      <c r="Q211" s="10"/>
      <c r="R211" s="10"/>
      <c r="S211" s="13">
        <f>SUM(Table3[[#This Row],[Female ( age less than 17)]:[Male ( More than 18)2]])</f>
        <v>0</v>
      </c>
      <c r="T211" s="10"/>
      <c r="U211" s="10"/>
      <c r="V211" s="10"/>
      <c r="W211" s="10"/>
      <c r="X211" s="10"/>
      <c r="Z211" s="1"/>
      <c r="AB211" s="1"/>
      <c r="AF211" s="1"/>
      <c r="AJ211" s="1"/>
      <c r="AL211" s="1"/>
    </row>
    <row r="212" spans="1:38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1"/>
      <c r="M212" s="11"/>
      <c r="N212" s="12"/>
      <c r="O212" s="12"/>
      <c r="P212" s="10"/>
      <c r="Q212" s="10"/>
      <c r="R212" s="10"/>
      <c r="S212" s="13">
        <f>SUM(Table3[[#This Row],[Female ( age less than 17)]:[Male ( More than 18)2]])</f>
        <v>0</v>
      </c>
      <c r="T212" s="10"/>
      <c r="U212" s="10"/>
      <c r="V212" s="10"/>
      <c r="W212" s="10"/>
      <c r="X212" s="10"/>
      <c r="Z212" s="1"/>
      <c r="AB212" s="1"/>
      <c r="AF212" s="1"/>
      <c r="AJ212" s="1"/>
      <c r="AL212" s="1"/>
    </row>
    <row r="213" spans="1:38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1"/>
      <c r="M213" s="11"/>
      <c r="N213" s="12"/>
      <c r="O213" s="12"/>
      <c r="P213" s="10"/>
      <c r="Q213" s="10"/>
      <c r="R213" s="10"/>
      <c r="S213" s="13">
        <f>SUM(Table3[[#This Row],[Female ( age less than 17)]:[Male ( More than 18)2]])</f>
        <v>0</v>
      </c>
      <c r="T213" s="10"/>
      <c r="U213" s="10"/>
      <c r="V213" s="10"/>
      <c r="W213" s="10"/>
      <c r="X213" s="10"/>
      <c r="Z213" s="1"/>
      <c r="AB213" s="1"/>
      <c r="AF213" s="1"/>
      <c r="AJ213" s="1"/>
      <c r="AL213" s="1"/>
    </row>
    <row r="214" spans="1:38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1"/>
      <c r="M214" s="11"/>
      <c r="N214" s="12"/>
      <c r="O214" s="12"/>
      <c r="P214" s="10"/>
      <c r="Q214" s="10"/>
      <c r="R214" s="10"/>
      <c r="S214" s="13">
        <f>SUM(Table3[[#This Row],[Female ( age less than 17)]:[Male ( More than 18)2]])</f>
        <v>0</v>
      </c>
      <c r="T214" s="10"/>
      <c r="U214" s="10"/>
      <c r="V214" s="10"/>
      <c r="W214" s="10"/>
      <c r="X214" s="10"/>
      <c r="Z214" s="1"/>
      <c r="AB214" s="1"/>
      <c r="AF214" s="1"/>
      <c r="AJ214" s="1"/>
      <c r="AL214" s="1"/>
    </row>
    <row r="215" spans="1:38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1"/>
      <c r="M215" s="11"/>
      <c r="N215" s="12"/>
      <c r="O215" s="12"/>
      <c r="P215" s="10"/>
      <c r="Q215" s="10"/>
      <c r="R215" s="10"/>
      <c r="S215" s="13">
        <f>SUM(Table3[[#This Row],[Female ( age less than 17)]:[Male ( More than 18)2]])</f>
        <v>0</v>
      </c>
      <c r="T215" s="10"/>
      <c r="U215" s="10"/>
      <c r="V215" s="10"/>
      <c r="W215" s="10"/>
      <c r="X215" s="10"/>
      <c r="Z215" s="1"/>
      <c r="AB215" s="1"/>
      <c r="AF215" s="1"/>
      <c r="AJ215" s="1"/>
      <c r="AL215" s="1"/>
    </row>
    <row r="216" spans="1:38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1"/>
      <c r="M216" s="11"/>
      <c r="N216" s="12"/>
      <c r="O216" s="12"/>
      <c r="P216" s="10"/>
      <c r="Q216" s="10"/>
      <c r="R216" s="10"/>
      <c r="S216" s="13">
        <f>SUM(Table3[[#This Row],[Female ( age less than 17)]:[Male ( More than 18)2]])</f>
        <v>0</v>
      </c>
      <c r="T216" s="10"/>
      <c r="U216" s="10"/>
      <c r="V216" s="10"/>
      <c r="W216" s="10"/>
      <c r="X216" s="10"/>
      <c r="Z216" s="1"/>
      <c r="AB216" s="1"/>
      <c r="AF216" s="1"/>
      <c r="AJ216" s="1"/>
      <c r="AL216" s="1"/>
    </row>
    <row r="217" spans="1:38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1"/>
      <c r="M217" s="11"/>
      <c r="N217" s="12"/>
      <c r="O217" s="12"/>
      <c r="P217" s="10"/>
      <c r="Q217" s="10"/>
      <c r="R217" s="10"/>
      <c r="S217" s="13">
        <f>SUM(Table3[[#This Row],[Female ( age less than 17)]:[Male ( More than 18)2]])</f>
        <v>0</v>
      </c>
      <c r="T217" s="10"/>
      <c r="U217" s="10"/>
      <c r="V217" s="10"/>
      <c r="W217" s="10"/>
      <c r="X217" s="10"/>
      <c r="Z217" s="1"/>
      <c r="AB217" s="1"/>
      <c r="AF217" s="1"/>
      <c r="AJ217" s="1"/>
      <c r="AL217" s="1"/>
    </row>
    <row r="218" spans="1:38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1"/>
      <c r="M218" s="11"/>
      <c r="N218" s="12"/>
      <c r="O218" s="12"/>
      <c r="P218" s="10"/>
      <c r="Q218" s="10"/>
      <c r="R218" s="10"/>
      <c r="S218" s="13">
        <f>SUM(Table3[[#This Row],[Female ( age less than 17)]:[Male ( More than 18)2]])</f>
        <v>0</v>
      </c>
      <c r="T218" s="10"/>
      <c r="U218" s="10"/>
      <c r="V218" s="10"/>
      <c r="W218" s="10"/>
      <c r="X218" s="10"/>
      <c r="Z218" s="1"/>
      <c r="AB218" s="1"/>
      <c r="AF218" s="1"/>
      <c r="AJ218" s="1"/>
      <c r="AL218" s="1"/>
    </row>
    <row r="219" spans="1:38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1"/>
      <c r="M219" s="11"/>
      <c r="N219" s="12"/>
      <c r="O219" s="12"/>
      <c r="P219" s="10"/>
      <c r="Q219" s="10"/>
      <c r="R219" s="10"/>
      <c r="S219" s="13">
        <f>SUM(Table3[[#This Row],[Female ( age less than 17)]:[Male ( More than 18)2]])</f>
        <v>0</v>
      </c>
      <c r="T219" s="10"/>
      <c r="U219" s="10"/>
      <c r="V219" s="10"/>
      <c r="W219" s="10"/>
      <c r="X219" s="10"/>
      <c r="Z219" s="1"/>
      <c r="AB219" s="1"/>
      <c r="AF219" s="1"/>
      <c r="AJ219" s="1"/>
      <c r="AL219" s="1"/>
    </row>
    <row r="220" spans="1:38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1"/>
      <c r="M220" s="11"/>
      <c r="N220" s="12"/>
      <c r="O220" s="12"/>
      <c r="P220" s="10"/>
      <c r="Q220" s="10"/>
      <c r="R220" s="10"/>
      <c r="S220" s="13">
        <f>SUM(Table3[[#This Row],[Female ( age less than 17)]:[Male ( More than 18)2]])</f>
        <v>0</v>
      </c>
      <c r="T220" s="10"/>
      <c r="U220" s="10"/>
      <c r="V220" s="10"/>
      <c r="W220" s="10"/>
      <c r="X220" s="10"/>
      <c r="Z220" s="1"/>
      <c r="AB220" s="1"/>
      <c r="AF220" s="1"/>
      <c r="AJ220" s="1"/>
      <c r="AL220" s="1"/>
    </row>
    <row r="221" spans="1:38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1"/>
      <c r="M221" s="11"/>
      <c r="N221" s="12"/>
      <c r="O221" s="12"/>
      <c r="P221" s="10"/>
      <c r="Q221" s="10"/>
      <c r="R221" s="10"/>
      <c r="S221" s="13">
        <f>SUM(Table3[[#This Row],[Female ( age less than 17)]:[Male ( More than 18)2]])</f>
        <v>0</v>
      </c>
      <c r="T221" s="10"/>
      <c r="U221" s="10"/>
      <c r="V221" s="10"/>
      <c r="W221" s="10"/>
      <c r="X221" s="10"/>
      <c r="Z221" s="1"/>
      <c r="AB221" s="1"/>
      <c r="AF221" s="1"/>
      <c r="AJ221" s="1"/>
      <c r="AL221" s="1"/>
    </row>
    <row r="222" spans="1:38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1"/>
      <c r="M222" s="11"/>
      <c r="N222" s="12"/>
      <c r="O222" s="12"/>
      <c r="P222" s="10"/>
      <c r="Q222" s="10"/>
      <c r="R222" s="10"/>
      <c r="S222" s="13">
        <f>SUM(Table3[[#This Row],[Female ( age less than 17)]:[Male ( More than 18)2]])</f>
        <v>0</v>
      </c>
      <c r="T222" s="10"/>
      <c r="U222" s="10"/>
      <c r="V222" s="10"/>
      <c r="W222" s="10"/>
      <c r="X222" s="10"/>
      <c r="Z222" s="1"/>
      <c r="AB222" s="1"/>
      <c r="AF222" s="1"/>
      <c r="AJ222" s="1"/>
      <c r="AL222" s="1"/>
    </row>
    <row r="223" spans="1:38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1"/>
      <c r="M223" s="11"/>
      <c r="N223" s="12"/>
      <c r="O223" s="12"/>
      <c r="P223" s="10"/>
      <c r="Q223" s="10"/>
      <c r="R223" s="10"/>
      <c r="S223" s="13">
        <f>SUM(Table3[[#This Row],[Female ( age less than 17)]:[Male ( More than 18)2]])</f>
        <v>0</v>
      </c>
      <c r="T223" s="10"/>
      <c r="U223" s="10"/>
      <c r="V223" s="10"/>
      <c r="W223" s="10"/>
      <c r="X223" s="10"/>
      <c r="Z223" s="1"/>
      <c r="AB223" s="1"/>
      <c r="AF223" s="1"/>
      <c r="AJ223" s="1"/>
      <c r="AL223" s="1"/>
    </row>
    <row r="224" spans="1:38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1"/>
      <c r="M224" s="11"/>
      <c r="N224" s="12"/>
      <c r="O224" s="12"/>
      <c r="P224" s="10"/>
      <c r="Q224" s="10"/>
      <c r="R224" s="10"/>
      <c r="S224" s="13">
        <f>SUM(Table3[[#This Row],[Female ( age less than 17)]:[Male ( More than 18)2]])</f>
        <v>0</v>
      </c>
      <c r="T224" s="10"/>
      <c r="U224" s="10"/>
      <c r="V224" s="10"/>
      <c r="W224" s="10"/>
      <c r="X224" s="10"/>
      <c r="Z224" s="1"/>
      <c r="AB224" s="1"/>
      <c r="AF224" s="1"/>
      <c r="AJ224" s="1"/>
      <c r="AL224" s="1"/>
    </row>
    <row r="225" spans="1:38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1"/>
      <c r="M225" s="11"/>
      <c r="N225" s="12"/>
      <c r="O225" s="12"/>
      <c r="P225" s="10"/>
      <c r="Q225" s="10"/>
      <c r="R225" s="10"/>
      <c r="S225" s="13">
        <f>SUM(Table3[[#This Row],[Female ( age less than 17)]:[Male ( More than 18)2]])</f>
        <v>0</v>
      </c>
      <c r="T225" s="10"/>
      <c r="U225" s="10"/>
      <c r="V225" s="10"/>
      <c r="W225" s="10"/>
      <c r="X225" s="10"/>
      <c r="Z225" s="1"/>
      <c r="AB225" s="1"/>
      <c r="AF225" s="1"/>
      <c r="AJ225" s="1"/>
      <c r="AL225" s="1"/>
    </row>
    <row r="226" spans="1:38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1"/>
      <c r="M226" s="11"/>
      <c r="N226" s="12"/>
      <c r="O226" s="12"/>
      <c r="P226" s="10"/>
      <c r="Q226" s="10"/>
      <c r="R226" s="10"/>
      <c r="S226" s="13">
        <f>SUM(Table3[[#This Row],[Female ( age less than 17)]:[Male ( More than 18)2]])</f>
        <v>0</v>
      </c>
      <c r="T226" s="10"/>
      <c r="U226" s="10"/>
      <c r="V226" s="10"/>
      <c r="W226" s="10"/>
      <c r="X226" s="10"/>
      <c r="Z226" s="1"/>
      <c r="AB226" s="1"/>
      <c r="AF226" s="1"/>
      <c r="AJ226" s="1"/>
      <c r="AL226" s="1"/>
    </row>
    <row r="227" spans="1:38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1"/>
      <c r="M227" s="11"/>
      <c r="N227" s="12"/>
      <c r="O227" s="12"/>
      <c r="P227" s="10"/>
      <c r="Q227" s="10"/>
      <c r="R227" s="10"/>
      <c r="S227" s="13">
        <f>SUM(Table3[[#This Row],[Female ( age less than 17)]:[Male ( More than 18)2]])</f>
        <v>0</v>
      </c>
      <c r="T227" s="10"/>
      <c r="U227" s="10"/>
      <c r="V227" s="10"/>
      <c r="W227" s="10"/>
      <c r="X227" s="10"/>
      <c r="Z227" s="1"/>
      <c r="AB227" s="1"/>
      <c r="AF227" s="1"/>
      <c r="AJ227" s="1"/>
      <c r="AL227" s="1"/>
    </row>
    <row r="228" spans="1:38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1"/>
      <c r="M228" s="11"/>
      <c r="N228" s="12"/>
      <c r="O228" s="12"/>
      <c r="P228" s="10"/>
      <c r="Q228" s="10"/>
      <c r="R228" s="10"/>
      <c r="S228" s="13">
        <f>SUM(Table3[[#This Row],[Female ( age less than 17)]:[Male ( More than 18)2]])</f>
        <v>0</v>
      </c>
      <c r="T228" s="10"/>
      <c r="U228" s="10"/>
      <c r="V228" s="10"/>
      <c r="W228" s="10"/>
      <c r="X228" s="10"/>
      <c r="Z228" s="1"/>
      <c r="AB228" s="1"/>
      <c r="AF228" s="1"/>
      <c r="AJ228" s="1"/>
      <c r="AL228" s="1"/>
    </row>
    <row r="229" spans="1:38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1"/>
      <c r="M229" s="11"/>
      <c r="N229" s="12"/>
      <c r="O229" s="12"/>
      <c r="P229" s="10"/>
      <c r="Q229" s="10"/>
      <c r="R229" s="10"/>
      <c r="S229" s="13">
        <f>SUM(Table3[[#This Row],[Female ( age less than 17)]:[Male ( More than 18)2]])</f>
        <v>0</v>
      </c>
      <c r="T229" s="10"/>
      <c r="U229" s="10"/>
      <c r="V229" s="10"/>
      <c r="W229" s="10"/>
      <c r="X229" s="10"/>
      <c r="Z229" s="1"/>
      <c r="AB229" s="1"/>
      <c r="AF229" s="1"/>
      <c r="AJ229" s="1"/>
      <c r="AL229" s="1"/>
    </row>
    <row r="230" spans="1:38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1"/>
      <c r="M230" s="11"/>
      <c r="N230" s="12"/>
      <c r="O230" s="12"/>
      <c r="P230" s="10"/>
      <c r="Q230" s="10"/>
      <c r="R230" s="10"/>
      <c r="S230" s="13">
        <f>SUM(Table3[[#This Row],[Female ( age less than 17)]:[Male ( More than 18)2]])</f>
        <v>0</v>
      </c>
      <c r="T230" s="10"/>
      <c r="U230" s="10"/>
      <c r="V230" s="10"/>
      <c r="W230" s="10"/>
      <c r="X230" s="10"/>
      <c r="Z230" s="1"/>
      <c r="AB230" s="1"/>
      <c r="AF230" s="1"/>
      <c r="AJ230" s="1"/>
      <c r="AL230" s="1"/>
    </row>
    <row r="231" spans="1:38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1"/>
      <c r="M231" s="11"/>
      <c r="N231" s="12"/>
      <c r="O231" s="12"/>
      <c r="P231" s="10"/>
      <c r="Q231" s="10"/>
      <c r="R231" s="10"/>
      <c r="S231" s="13">
        <f>SUM(Table3[[#This Row],[Female ( age less than 17)]:[Male ( More than 18)2]])</f>
        <v>0</v>
      </c>
      <c r="T231" s="10"/>
      <c r="U231" s="10"/>
      <c r="V231" s="10"/>
      <c r="W231" s="10"/>
      <c r="X231" s="10"/>
      <c r="Z231" s="1"/>
      <c r="AB231" s="1"/>
      <c r="AF231" s="1"/>
      <c r="AJ231" s="1"/>
      <c r="AL231" s="1"/>
    </row>
    <row r="232" spans="1:38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1"/>
      <c r="M232" s="11"/>
      <c r="N232" s="12"/>
      <c r="O232" s="12"/>
      <c r="P232" s="10"/>
      <c r="Q232" s="10"/>
      <c r="R232" s="10"/>
      <c r="S232" s="13">
        <f>SUM(Table3[[#This Row],[Female ( age less than 17)]:[Male ( More than 18)2]])</f>
        <v>0</v>
      </c>
      <c r="T232" s="10"/>
      <c r="U232" s="10"/>
      <c r="V232" s="10"/>
      <c r="W232" s="10"/>
      <c r="X232" s="10"/>
      <c r="Z232" s="1"/>
      <c r="AB232" s="1"/>
      <c r="AF232" s="1"/>
      <c r="AJ232" s="1"/>
      <c r="AL232" s="1"/>
    </row>
    <row r="233" spans="1:38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1"/>
      <c r="M233" s="11"/>
      <c r="N233" s="12"/>
      <c r="O233" s="12"/>
      <c r="P233" s="10"/>
      <c r="Q233" s="10"/>
      <c r="R233" s="10"/>
      <c r="S233" s="13">
        <f>SUM(Table3[[#This Row],[Female ( age less than 17)]:[Male ( More than 18)2]])</f>
        <v>0</v>
      </c>
      <c r="T233" s="10"/>
      <c r="U233" s="10"/>
      <c r="V233" s="10"/>
      <c r="W233" s="10"/>
      <c r="X233" s="10"/>
      <c r="Z233" s="1"/>
      <c r="AB233" s="1"/>
      <c r="AF233" s="1"/>
      <c r="AJ233" s="1"/>
      <c r="AL233" s="1"/>
    </row>
    <row r="234" spans="1:38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1"/>
      <c r="M234" s="11"/>
      <c r="N234" s="12"/>
      <c r="O234" s="12"/>
      <c r="P234" s="10"/>
      <c r="Q234" s="10"/>
      <c r="R234" s="10"/>
      <c r="S234" s="13">
        <f>SUM(Table3[[#This Row],[Female ( age less than 17)]:[Male ( More than 18)2]])</f>
        <v>0</v>
      </c>
      <c r="T234" s="10"/>
      <c r="U234" s="10"/>
      <c r="V234" s="10"/>
      <c r="W234" s="10"/>
      <c r="X234" s="10"/>
      <c r="Z234" s="1"/>
      <c r="AB234" s="1"/>
      <c r="AF234" s="1"/>
      <c r="AJ234" s="1"/>
      <c r="AL234" s="1"/>
    </row>
    <row r="235" spans="1:38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1"/>
      <c r="M235" s="11"/>
      <c r="N235" s="12"/>
      <c r="O235" s="12"/>
      <c r="P235" s="10"/>
      <c r="Q235" s="10"/>
      <c r="R235" s="10"/>
      <c r="S235" s="13">
        <f>SUM(Table3[[#This Row],[Female ( age less than 17)]:[Male ( More than 18)2]])</f>
        <v>0</v>
      </c>
      <c r="T235" s="10"/>
      <c r="U235" s="10"/>
      <c r="V235" s="10"/>
      <c r="W235" s="10"/>
      <c r="X235" s="10"/>
      <c r="Z235" s="1"/>
      <c r="AB235" s="1"/>
      <c r="AF235" s="1"/>
      <c r="AJ235" s="1"/>
      <c r="AL235" s="1"/>
    </row>
    <row r="236" spans="1:38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1"/>
      <c r="M236" s="11"/>
      <c r="N236" s="12"/>
      <c r="O236" s="12"/>
      <c r="P236" s="10"/>
      <c r="Q236" s="10"/>
      <c r="R236" s="10"/>
      <c r="S236" s="13">
        <f>SUM(Table3[[#This Row],[Female ( age less than 17)]:[Male ( More than 18)2]])</f>
        <v>0</v>
      </c>
      <c r="T236" s="10"/>
      <c r="U236" s="10"/>
      <c r="V236" s="10"/>
      <c r="W236" s="10"/>
      <c r="X236" s="10"/>
      <c r="Z236" s="1"/>
      <c r="AB236" s="1"/>
      <c r="AF236" s="1"/>
      <c r="AJ236" s="1"/>
      <c r="AL236" s="1"/>
    </row>
    <row r="237" spans="1:38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1"/>
      <c r="M237" s="11"/>
      <c r="N237" s="12"/>
      <c r="O237" s="12"/>
      <c r="P237" s="10"/>
      <c r="Q237" s="10"/>
      <c r="R237" s="10"/>
      <c r="S237" s="13">
        <f>SUM(Table3[[#This Row],[Female ( age less than 17)]:[Male ( More than 18)2]])</f>
        <v>0</v>
      </c>
      <c r="T237" s="10"/>
      <c r="U237" s="10"/>
      <c r="V237" s="10"/>
      <c r="W237" s="10"/>
      <c r="X237" s="10"/>
      <c r="Z237" s="1"/>
      <c r="AB237" s="1"/>
      <c r="AF237" s="1"/>
      <c r="AJ237" s="1"/>
      <c r="AL237" s="1"/>
    </row>
    <row r="238" spans="1:38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1"/>
      <c r="M238" s="11"/>
      <c r="N238" s="12"/>
      <c r="O238" s="12"/>
      <c r="P238" s="10"/>
      <c r="Q238" s="10"/>
      <c r="R238" s="10"/>
      <c r="S238" s="13">
        <f>SUM(Table3[[#This Row],[Female ( age less than 17)]:[Male ( More than 18)2]])</f>
        <v>0</v>
      </c>
      <c r="T238" s="10"/>
      <c r="U238" s="10"/>
      <c r="V238" s="10"/>
      <c r="W238" s="10"/>
      <c r="X238" s="10"/>
      <c r="Z238" s="1"/>
      <c r="AB238" s="1"/>
      <c r="AF238" s="1"/>
      <c r="AJ238" s="1"/>
      <c r="AL238" s="1"/>
    </row>
    <row r="239" spans="1:38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1"/>
      <c r="M239" s="11"/>
      <c r="N239" s="12"/>
      <c r="O239" s="12"/>
      <c r="P239" s="10"/>
      <c r="Q239" s="10"/>
      <c r="R239" s="10"/>
      <c r="S239" s="13">
        <f>SUM(Table3[[#This Row],[Female ( age less than 17)]:[Male ( More than 18)2]])</f>
        <v>0</v>
      </c>
      <c r="T239" s="10"/>
      <c r="U239" s="10"/>
      <c r="V239" s="10"/>
      <c r="W239" s="10"/>
      <c r="X239" s="10"/>
      <c r="Z239" s="1"/>
      <c r="AB239" s="1"/>
      <c r="AF239" s="1"/>
      <c r="AJ239" s="1"/>
      <c r="AL239" s="1"/>
    </row>
    <row r="240" spans="1:38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1"/>
      <c r="M240" s="11"/>
      <c r="N240" s="12"/>
      <c r="O240" s="12"/>
      <c r="P240" s="10"/>
      <c r="Q240" s="10"/>
      <c r="R240" s="10"/>
      <c r="S240" s="13">
        <f>SUM(Table3[[#This Row],[Female ( age less than 17)]:[Male ( More than 18)2]])</f>
        <v>0</v>
      </c>
      <c r="T240" s="10"/>
      <c r="U240" s="10"/>
      <c r="V240" s="10"/>
      <c r="W240" s="10"/>
      <c r="X240" s="10"/>
      <c r="Z240" s="1"/>
      <c r="AB240" s="1"/>
      <c r="AF240" s="1"/>
      <c r="AJ240" s="1"/>
      <c r="AL240" s="1"/>
    </row>
    <row r="241" spans="1:38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1"/>
      <c r="M241" s="11"/>
      <c r="N241" s="12"/>
      <c r="O241" s="12"/>
      <c r="P241" s="10"/>
      <c r="Q241" s="10"/>
      <c r="R241" s="10"/>
      <c r="S241" s="13">
        <f>SUM(Table3[[#This Row],[Female ( age less than 17)]:[Male ( More than 18)2]])</f>
        <v>0</v>
      </c>
      <c r="T241" s="10"/>
      <c r="U241" s="10"/>
      <c r="V241" s="10"/>
      <c r="W241" s="10"/>
      <c r="X241" s="10"/>
      <c r="Z241" s="1"/>
      <c r="AB241" s="1"/>
      <c r="AF241" s="1"/>
      <c r="AJ241" s="1"/>
      <c r="AL241" s="1"/>
    </row>
    <row r="242" spans="1:38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1"/>
      <c r="M242" s="11"/>
      <c r="N242" s="12"/>
      <c r="O242" s="12"/>
      <c r="P242" s="10"/>
      <c r="Q242" s="10"/>
      <c r="R242" s="10"/>
      <c r="S242" s="13">
        <f>SUM(Table3[[#This Row],[Female ( age less than 17)]:[Male ( More than 18)2]])</f>
        <v>0</v>
      </c>
      <c r="T242" s="10"/>
      <c r="U242" s="10"/>
      <c r="V242" s="10"/>
      <c r="W242" s="10"/>
      <c r="X242" s="10"/>
      <c r="Z242" s="1"/>
      <c r="AB242" s="1"/>
      <c r="AF242" s="1"/>
      <c r="AJ242" s="1"/>
      <c r="AL242" s="1"/>
    </row>
    <row r="243" spans="1:38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1"/>
      <c r="M243" s="11"/>
      <c r="N243" s="12"/>
      <c r="O243" s="12"/>
      <c r="P243" s="10"/>
      <c r="Q243" s="10"/>
      <c r="R243" s="10"/>
      <c r="S243" s="13">
        <f>SUM(Table3[[#This Row],[Female ( age less than 17)]:[Male ( More than 18)2]])</f>
        <v>0</v>
      </c>
      <c r="T243" s="10"/>
      <c r="U243" s="10"/>
      <c r="V243" s="10"/>
      <c r="W243" s="10"/>
      <c r="X243" s="10"/>
      <c r="Z243" s="1"/>
      <c r="AB243" s="1"/>
      <c r="AF243" s="1"/>
      <c r="AJ243" s="1"/>
      <c r="AL243" s="1"/>
    </row>
    <row r="244" spans="1:38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1"/>
      <c r="M244" s="11"/>
      <c r="N244" s="12"/>
      <c r="O244" s="12"/>
      <c r="P244" s="10"/>
      <c r="Q244" s="10"/>
      <c r="R244" s="10"/>
      <c r="S244" s="13">
        <f>SUM(Table3[[#This Row],[Female ( age less than 17)]:[Male ( More than 18)2]])</f>
        <v>0</v>
      </c>
      <c r="T244" s="10"/>
      <c r="U244" s="10"/>
      <c r="V244" s="10"/>
      <c r="W244" s="10"/>
      <c r="X244" s="10"/>
      <c r="Z244" s="1"/>
      <c r="AB244" s="1"/>
      <c r="AF244" s="1"/>
      <c r="AJ244" s="1"/>
      <c r="AL244" s="1"/>
    </row>
    <row r="245" spans="1:38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1"/>
      <c r="M245" s="11"/>
      <c r="N245" s="12"/>
      <c r="O245" s="12"/>
      <c r="P245" s="10"/>
      <c r="Q245" s="10"/>
      <c r="R245" s="10"/>
      <c r="S245" s="13">
        <f>SUM(Table3[[#This Row],[Female ( age less than 17)]:[Male ( More than 18)2]])</f>
        <v>0</v>
      </c>
      <c r="T245" s="10"/>
      <c r="U245" s="10"/>
      <c r="V245" s="10"/>
      <c r="W245" s="10"/>
      <c r="X245" s="10"/>
      <c r="Z245" s="1"/>
      <c r="AB245" s="1"/>
      <c r="AF245" s="1"/>
      <c r="AJ245" s="1"/>
      <c r="AL245" s="1"/>
    </row>
    <row r="246" spans="1:38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1"/>
      <c r="M246" s="11"/>
      <c r="N246" s="12"/>
      <c r="O246" s="12"/>
      <c r="P246" s="10"/>
      <c r="Q246" s="10"/>
      <c r="R246" s="10"/>
      <c r="S246" s="13">
        <f>SUM(Table3[[#This Row],[Female ( age less than 17)]:[Male ( More than 18)2]])</f>
        <v>0</v>
      </c>
      <c r="T246" s="10"/>
      <c r="U246" s="10"/>
      <c r="V246" s="10"/>
      <c r="W246" s="10"/>
      <c r="X246" s="10"/>
      <c r="Z246" s="1"/>
      <c r="AB246" s="1"/>
      <c r="AF246" s="1"/>
      <c r="AJ246" s="1"/>
      <c r="AL246" s="1"/>
    </row>
    <row r="247" spans="1:38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1"/>
      <c r="M247" s="11"/>
      <c r="N247" s="12"/>
      <c r="O247" s="12"/>
      <c r="P247" s="10"/>
      <c r="Q247" s="10"/>
      <c r="R247" s="10"/>
      <c r="S247" s="13">
        <f>SUM(Table3[[#This Row],[Female ( age less than 17)]:[Male ( More than 18)2]])</f>
        <v>0</v>
      </c>
      <c r="T247" s="10"/>
      <c r="U247" s="10"/>
      <c r="V247" s="10"/>
      <c r="W247" s="10"/>
      <c r="X247" s="10"/>
      <c r="Z247" s="1"/>
      <c r="AB247" s="1"/>
      <c r="AF247" s="1"/>
      <c r="AJ247" s="1"/>
      <c r="AL247" s="1"/>
    </row>
    <row r="248" spans="1:38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1"/>
      <c r="M248" s="11"/>
      <c r="N248" s="12"/>
      <c r="O248" s="12"/>
      <c r="P248" s="10"/>
      <c r="Q248" s="10"/>
      <c r="R248" s="10"/>
      <c r="S248" s="13">
        <f>SUM(Table3[[#This Row],[Female ( age less than 17)]:[Male ( More than 18)2]])</f>
        <v>0</v>
      </c>
      <c r="T248" s="10"/>
      <c r="U248" s="10"/>
      <c r="V248" s="10"/>
      <c r="W248" s="10"/>
      <c r="X248" s="10"/>
      <c r="Z248" s="1"/>
      <c r="AB248" s="1"/>
      <c r="AF248" s="1"/>
      <c r="AJ248" s="1"/>
      <c r="AL248" s="1"/>
    </row>
    <row r="249" spans="1:38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1"/>
      <c r="M249" s="11"/>
      <c r="N249" s="12"/>
      <c r="O249" s="12"/>
      <c r="P249" s="10"/>
      <c r="Q249" s="10"/>
      <c r="R249" s="10"/>
      <c r="S249" s="13">
        <f>SUM(Table3[[#This Row],[Female ( age less than 17)]:[Male ( More than 18)2]])</f>
        <v>0</v>
      </c>
      <c r="T249" s="10"/>
      <c r="U249" s="10"/>
      <c r="V249" s="10"/>
      <c r="W249" s="10"/>
      <c r="X249" s="10"/>
      <c r="Z249" s="1"/>
      <c r="AB249" s="1"/>
      <c r="AF249" s="1"/>
      <c r="AJ249" s="1"/>
      <c r="AL249" s="1"/>
    </row>
    <row r="250" spans="1:38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1"/>
      <c r="M250" s="11"/>
      <c r="N250" s="12"/>
      <c r="O250" s="12"/>
      <c r="P250" s="10"/>
      <c r="Q250" s="10"/>
      <c r="R250" s="10"/>
      <c r="S250" s="13">
        <f>SUM(Table3[[#This Row],[Female ( age less than 17)]:[Male ( More than 18)2]])</f>
        <v>0</v>
      </c>
      <c r="T250" s="10"/>
      <c r="U250" s="10"/>
      <c r="V250" s="10"/>
      <c r="W250" s="10"/>
      <c r="X250" s="10"/>
      <c r="Z250" s="1"/>
      <c r="AB250" s="1"/>
      <c r="AF250" s="1"/>
      <c r="AJ250" s="1"/>
      <c r="AL250" s="1"/>
    </row>
    <row r="251" spans="1:38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1"/>
      <c r="M251" s="11"/>
      <c r="N251" s="12"/>
      <c r="O251" s="12"/>
      <c r="P251" s="10"/>
      <c r="Q251" s="10"/>
      <c r="R251" s="10"/>
      <c r="S251" s="13">
        <f>SUM(Table3[[#This Row],[Female ( age less than 17)]:[Male ( More than 18)2]])</f>
        <v>0</v>
      </c>
      <c r="T251" s="10"/>
      <c r="U251" s="10"/>
      <c r="V251" s="10"/>
      <c r="W251" s="10"/>
      <c r="X251" s="10"/>
      <c r="Z251" s="1"/>
      <c r="AB251" s="1"/>
      <c r="AF251" s="1"/>
      <c r="AJ251" s="1"/>
      <c r="AL251" s="1"/>
    </row>
    <row r="252" spans="1:38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1"/>
      <c r="M252" s="11"/>
      <c r="N252" s="12"/>
      <c r="O252" s="12"/>
      <c r="P252" s="10"/>
      <c r="Q252" s="10"/>
      <c r="R252" s="10"/>
      <c r="S252" s="13">
        <f>SUM(Table3[[#This Row],[Female ( age less than 17)]:[Male ( More than 18)2]])</f>
        <v>0</v>
      </c>
      <c r="T252" s="10"/>
      <c r="U252" s="10"/>
      <c r="V252" s="10"/>
      <c r="W252" s="10"/>
      <c r="X252" s="10"/>
      <c r="Z252" s="1"/>
      <c r="AB252" s="1"/>
      <c r="AF252" s="1"/>
      <c r="AJ252" s="1"/>
      <c r="AL252" s="1"/>
    </row>
    <row r="253" spans="1:38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1"/>
      <c r="M253" s="11"/>
      <c r="N253" s="12"/>
      <c r="O253" s="12"/>
      <c r="P253" s="10"/>
      <c r="Q253" s="10"/>
      <c r="R253" s="10"/>
      <c r="S253" s="13">
        <f>SUM(Table3[[#This Row],[Female ( age less than 17)]:[Male ( More than 18)2]])</f>
        <v>0</v>
      </c>
      <c r="T253" s="10"/>
      <c r="U253" s="10"/>
      <c r="V253" s="10"/>
      <c r="W253" s="10"/>
      <c r="X253" s="10"/>
      <c r="Z253" s="1"/>
      <c r="AB253" s="1"/>
      <c r="AF253" s="1"/>
      <c r="AJ253" s="1"/>
      <c r="AL253" s="1"/>
    </row>
    <row r="254" spans="1:38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1"/>
      <c r="M254" s="11"/>
      <c r="N254" s="12"/>
      <c r="O254" s="12"/>
      <c r="P254" s="10"/>
      <c r="Q254" s="10"/>
      <c r="R254" s="10"/>
      <c r="S254" s="13">
        <f>SUM(Table3[[#This Row],[Female ( age less than 17)]:[Male ( More than 18)2]])</f>
        <v>0</v>
      </c>
      <c r="T254" s="10"/>
      <c r="U254" s="10"/>
      <c r="V254" s="10"/>
      <c r="W254" s="10"/>
      <c r="X254" s="10"/>
      <c r="Z254" s="1"/>
      <c r="AB254" s="1"/>
      <c r="AF254" s="1"/>
      <c r="AJ254" s="1"/>
      <c r="AL254" s="1"/>
    </row>
    <row r="255" spans="1:38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1"/>
      <c r="M255" s="11"/>
      <c r="N255" s="12"/>
      <c r="O255" s="12"/>
      <c r="P255" s="10"/>
      <c r="Q255" s="10"/>
      <c r="R255" s="10"/>
      <c r="S255" s="13">
        <f>SUM(Table3[[#This Row],[Female ( age less than 17)]:[Male ( More than 18)2]])</f>
        <v>0</v>
      </c>
      <c r="T255" s="10"/>
      <c r="U255" s="10"/>
      <c r="V255" s="10"/>
      <c r="W255" s="10"/>
      <c r="X255" s="10"/>
      <c r="Z255" s="1"/>
      <c r="AB255" s="1"/>
      <c r="AF255" s="1"/>
      <c r="AJ255" s="1"/>
      <c r="AL255" s="1"/>
    </row>
    <row r="256" spans="1:38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1"/>
      <c r="M256" s="11"/>
      <c r="N256" s="12"/>
      <c r="O256" s="12"/>
      <c r="P256" s="10"/>
      <c r="Q256" s="10"/>
      <c r="R256" s="10"/>
      <c r="S256" s="13">
        <f>SUM(Table3[[#This Row],[Female ( age less than 17)]:[Male ( More than 18)2]])</f>
        <v>0</v>
      </c>
      <c r="T256" s="10"/>
      <c r="U256" s="10"/>
      <c r="V256" s="10"/>
      <c r="W256" s="10"/>
      <c r="X256" s="10"/>
      <c r="Z256" s="1"/>
      <c r="AB256" s="1"/>
      <c r="AF256" s="1"/>
      <c r="AJ256" s="1"/>
      <c r="AL256" s="1"/>
    </row>
    <row r="257" spans="1:38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1"/>
      <c r="M257" s="11"/>
      <c r="N257" s="12"/>
      <c r="O257" s="12"/>
      <c r="P257" s="10"/>
      <c r="Q257" s="10"/>
      <c r="R257" s="10"/>
      <c r="S257" s="13">
        <f>SUM(Table3[[#This Row],[Female ( age less than 17)]:[Male ( More than 18)2]])</f>
        <v>0</v>
      </c>
      <c r="T257" s="10"/>
      <c r="U257" s="10"/>
      <c r="V257" s="10"/>
      <c r="W257" s="10"/>
      <c r="X257" s="10"/>
      <c r="Z257" s="1"/>
      <c r="AB257" s="1"/>
      <c r="AF257" s="1"/>
      <c r="AJ257" s="1"/>
      <c r="AL257" s="1"/>
    </row>
    <row r="258" spans="1:38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1"/>
      <c r="M258" s="11"/>
      <c r="N258" s="12"/>
      <c r="O258" s="12"/>
      <c r="P258" s="10"/>
      <c r="Q258" s="10"/>
      <c r="R258" s="10"/>
      <c r="S258" s="13">
        <f>SUM(Table3[[#This Row],[Female ( age less than 17)]:[Male ( More than 18)2]])</f>
        <v>0</v>
      </c>
      <c r="T258" s="10"/>
      <c r="U258" s="10"/>
      <c r="V258" s="10"/>
      <c r="W258" s="10"/>
      <c r="X258" s="10"/>
      <c r="Z258" s="1"/>
      <c r="AB258" s="1"/>
      <c r="AF258" s="1"/>
      <c r="AJ258" s="1"/>
      <c r="AL258" s="1"/>
    </row>
    <row r="259" spans="1:38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1"/>
      <c r="M259" s="11"/>
      <c r="N259" s="12"/>
      <c r="O259" s="12"/>
      <c r="P259" s="10"/>
      <c r="Q259" s="10"/>
      <c r="R259" s="10"/>
      <c r="S259" s="13">
        <f>SUM(Table3[[#This Row],[Female ( age less than 17)]:[Male ( More than 18)2]])</f>
        <v>0</v>
      </c>
      <c r="T259" s="10"/>
      <c r="U259" s="10"/>
      <c r="V259" s="10"/>
      <c r="W259" s="10"/>
      <c r="X259" s="10"/>
      <c r="Z259" s="1"/>
      <c r="AB259" s="1"/>
      <c r="AF259" s="1"/>
      <c r="AJ259" s="1"/>
      <c r="AL259" s="1"/>
    </row>
    <row r="260" spans="1:38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1"/>
      <c r="M260" s="11"/>
      <c r="N260" s="12"/>
      <c r="O260" s="12"/>
      <c r="P260" s="10"/>
      <c r="Q260" s="10"/>
      <c r="R260" s="10"/>
      <c r="S260" s="13">
        <f>SUM(Table3[[#This Row],[Female ( age less than 17)]:[Male ( More than 18)2]])</f>
        <v>0</v>
      </c>
      <c r="T260" s="10"/>
      <c r="U260" s="10"/>
      <c r="V260" s="10"/>
      <c r="W260" s="10"/>
      <c r="X260" s="10"/>
      <c r="Z260" s="1"/>
      <c r="AB260" s="1"/>
      <c r="AF260" s="1"/>
      <c r="AJ260" s="1"/>
      <c r="AL260" s="1"/>
    </row>
    <row r="261" spans="1:38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1"/>
      <c r="M261" s="11"/>
      <c r="N261" s="12"/>
      <c r="O261" s="12"/>
      <c r="P261" s="10"/>
      <c r="Q261" s="10"/>
      <c r="R261" s="10"/>
      <c r="S261" s="13">
        <f>SUM(Table3[[#This Row],[Female ( age less than 17)]:[Male ( More than 18)2]])</f>
        <v>0</v>
      </c>
      <c r="T261" s="10"/>
      <c r="U261" s="10"/>
      <c r="V261" s="10"/>
      <c r="W261" s="10"/>
      <c r="X261" s="10"/>
      <c r="Z261" s="1"/>
      <c r="AB261" s="1"/>
      <c r="AF261" s="1"/>
      <c r="AJ261" s="1"/>
      <c r="AL261" s="1"/>
    </row>
    <row r="262" spans="1:38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1"/>
      <c r="M262" s="11"/>
      <c r="N262" s="12"/>
      <c r="O262" s="12"/>
      <c r="P262" s="10"/>
      <c r="Q262" s="10"/>
      <c r="R262" s="10"/>
      <c r="S262" s="13">
        <f>SUM(Table3[[#This Row],[Female ( age less than 17)]:[Male ( More than 18)2]])</f>
        <v>0</v>
      </c>
      <c r="T262" s="10"/>
      <c r="U262" s="10"/>
      <c r="V262" s="10"/>
      <c r="W262" s="10"/>
      <c r="X262" s="10"/>
      <c r="Z262" s="1"/>
      <c r="AB262" s="1"/>
      <c r="AF262" s="1"/>
      <c r="AJ262" s="1"/>
      <c r="AL262" s="1"/>
    </row>
    <row r="263" spans="1:38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1"/>
      <c r="M263" s="11"/>
      <c r="N263" s="12"/>
      <c r="O263" s="12"/>
      <c r="P263" s="10"/>
      <c r="Q263" s="10"/>
      <c r="R263" s="10"/>
      <c r="S263" s="13">
        <f>SUM(Table3[[#This Row],[Female ( age less than 17)]:[Male ( More than 18)2]])</f>
        <v>0</v>
      </c>
      <c r="T263" s="10"/>
      <c r="U263" s="10"/>
      <c r="V263" s="10"/>
      <c r="W263" s="10"/>
      <c r="X263" s="10"/>
      <c r="Z263" s="1"/>
      <c r="AB263" s="1"/>
      <c r="AF263" s="1"/>
      <c r="AJ263" s="1"/>
      <c r="AL263" s="1"/>
    </row>
    <row r="264" spans="1:38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1"/>
      <c r="M264" s="11"/>
      <c r="N264" s="12"/>
      <c r="O264" s="12"/>
      <c r="P264" s="10"/>
      <c r="Q264" s="10"/>
      <c r="R264" s="10"/>
      <c r="S264" s="13">
        <f>SUM(Table3[[#This Row],[Female ( age less than 17)]:[Male ( More than 18)2]])</f>
        <v>0</v>
      </c>
      <c r="T264" s="10"/>
      <c r="U264" s="10"/>
      <c r="V264" s="10"/>
      <c r="W264" s="10"/>
      <c r="X264" s="10"/>
      <c r="Z264" s="1"/>
      <c r="AB264" s="1"/>
      <c r="AF264" s="1"/>
      <c r="AJ264" s="1"/>
      <c r="AL264" s="1"/>
    </row>
    <row r="265" spans="1:38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1"/>
      <c r="M265" s="11"/>
      <c r="N265" s="12"/>
      <c r="O265" s="12"/>
      <c r="P265" s="10"/>
      <c r="Q265" s="10"/>
      <c r="R265" s="10"/>
      <c r="S265" s="13">
        <f>SUM(Table3[[#This Row],[Female ( age less than 17)]:[Male ( More than 18)2]])</f>
        <v>0</v>
      </c>
      <c r="T265" s="10"/>
      <c r="U265" s="10"/>
      <c r="V265" s="10"/>
      <c r="W265" s="10"/>
      <c r="X265" s="10"/>
      <c r="Z265" s="1"/>
      <c r="AB265" s="1"/>
      <c r="AF265" s="1"/>
      <c r="AJ265" s="1"/>
      <c r="AL265" s="1"/>
    </row>
    <row r="266" spans="1:38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1"/>
      <c r="M266" s="11"/>
      <c r="N266" s="12"/>
      <c r="O266" s="12"/>
      <c r="P266" s="10"/>
      <c r="Q266" s="10"/>
      <c r="R266" s="10"/>
      <c r="S266" s="13">
        <f>SUM(Table3[[#This Row],[Female ( age less than 17)]:[Male ( More than 18)2]])</f>
        <v>0</v>
      </c>
      <c r="T266" s="10"/>
      <c r="U266" s="10"/>
      <c r="V266" s="10"/>
      <c r="W266" s="10"/>
      <c r="X266" s="10"/>
      <c r="Z266" s="1"/>
      <c r="AB266" s="1"/>
      <c r="AF266" s="1"/>
      <c r="AJ266" s="1"/>
      <c r="AL266" s="1"/>
    </row>
    <row r="267" spans="1:38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1"/>
      <c r="M267" s="11"/>
      <c r="N267" s="12"/>
      <c r="O267" s="12"/>
      <c r="P267" s="10"/>
      <c r="Q267" s="10"/>
      <c r="R267" s="10"/>
      <c r="S267" s="13">
        <f>SUM(Table3[[#This Row],[Female ( age less than 17)]:[Male ( More than 18)2]])</f>
        <v>0</v>
      </c>
      <c r="T267" s="10"/>
      <c r="U267" s="10"/>
      <c r="V267" s="10"/>
      <c r="W267" s="10"/>
      <c r="X267" s="10"/>
      <c r="Z267" s="1"/>
      <c r="AB267" s="1"/>
      <c r="AF267" s="1"/>
      <c r="AJ267" s="1"/>
      <c r="AL267" s="1"/>
    </row>
    <row r="268" spans="1:38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1"/>
      <c r="M268" s="11"/>
      <c r="N268" s="12"/>
      <c r="O268" s="12"/>
      <c r="P268" s="10"/>
      <c r="Q268" s="10"/>
      <c r="R268" s="10"/>
      <c r="S268" s="13">
        <f>SUM(Table3[[#This Row],[Female ( age less than 17)]:[Male ( More than 18)2]])</f>
        <v>0</v>
      </c>
      <c r="T268" s="10"/>
      <c r="U268" s="10"/>
      <c r="V268" s="10"/>
      <c r="W268" s="10"/>
      <c r="X268" s="10"/>
      <c r="Z268" s="1"/>
      <c r="AB268" s="1"/>
      <c r="AF268" s="1"/>
      <c r="AJ268" s="1"/>
      <c r="AL268" s="1"/>
    </row>
    <row r="269" spans="1:38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1"/>
      <c r="M269" s="11"/>
      <c r="N269" s="12"/>
      <c r="O269" s="12"/>
      <c r="P269" s="10"/>
      <c r="Q269" s="10"/>
      <c r="R269" s="10"/>
      <c r="S269" s="13">
        <f>SUM(Table3[[#This Row],[Female ( age less than 17)]:[Male ( More than 18)2]])</f>
        <v>0</v>
      </c>
      <c r="T269" s="10"/>
      <c r="U269" s="10"/>
      <c r="V269" s="10"/>
      <c r="W269" s="10"/>
      <c r="X269" s="10"/>
      <c r="Z269" s="1"/>
      <c r="AB269" s="1"/>
      <c r="AF269" s="1"/>
      <c r="AJ269" s="1"/>
      <c r="AL269" s="1"/>
    </row>
    <row r="270" spans="1:38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1"/>
      <c r="M270" s="11"/>
      <c r="N270" s="12"/>
      <c r="O270" s="12"/>
      <c r="P270" s="10"/>
      <c r="Q270" s="10"/>
      <c r="R270" s="10"/>
      <c r="S270" s="13">
        <f>SUM(Table3[[#This Row],[Female ( age less than 17)]:[Male ( More than 18)2]])</f>
        <v>0</v>
      </c>
      <c r="T270" s="10"/>
      <c r="U270" s="10"/>
      <c r="V270" s="10"/>
      <c r="W270" s="10"/>
      <c r="X270" s="10"/>
      <c r="Z270" s="1"/>
      <c r="AB270" s="1"/>
      <c r="AF270" s="1"/>
      <c r="AJ270" s="1"/>
      <c r="AL270" s="1"/>
    </row>
    <row r="271" spans="1:38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1"/>
      <c r="M271" s="11"/>
      <c r="N271" s="12"/>
      <c r="O271" s="12"/>
      <c r="P271" s="10"/>
      <c r="Q271" s="10"/>
      <c r="R271" s="10"/>
      <c r="S271" s="13">
        <f>SUM(Table3[[#This Row],[Female ( age less than 17)]:[Male ( More than 18)2]])</f>
        <v>0</v>
      </c>
      <c r="T271" s="10"/>
      <c r="U271" s="10"/>
      <c r="V271" s="10"/>
      <c r="W271" s="10"/>
      <c r="X271" s="10"/>
      <c r="Z271" s="1"/>
      <c r="AB271" s="1"/>
      <c r="AF271" s="1"/>
      <c r="AJ271" s="1"/>
      <c r="AL271" s="1"/>
    </row>
    <row r="272" spans="1:38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1"/>
      <c r="M272" s="11"/>
      <c r="N272" s="12"/>
      <c r="O272" s="12"/>
      <c r="P272" s="10"/>
      <c r="Q272" s="10"/>
      <c r="R272" s="10"/>
      <c r="S272" s="13">
        <f>SUM(Table3[[#This Row],[Female ( age less than 17)]:[Male ( More than 18)2]])</f>
        <v>0</v>
      </c>
      <c r="T272" s="10"/>
      <c r="U272" s="10"/>
      <c r="V272" s="10"/>
      <c r="W272" s="10"/>
      <c r="X272" s="10"/>
      <c r="Z272" s="1"/>
      <c r="AB272" s="1"/>
      <c r="AF272" s="1"/>
      <c r="AJ272" s="1"/>
      <c r="AL272" s="1"/>
    </row>
    <row r="273" spans="1:38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1"/>
      <c r="M273" s="11"/>
      <c r="N273" s="12"/>
      <c r="O273" s="12"/>
      <c r="P273" s="10"/>
      <c r="Q273" s="10"/>
      <c r="R273" s="10"/>
      <c r="S273" s="13">
        <f>SUM(Table3[[#This Row],[Female ( age less than 17)]:[Male ( More than 18)2]])</f>
        <v>0</v>
      </c>
      <c r="T273" s="10"/>
      <c r="U273" s="10"/>
      <c r="V273" s="10"/>
      <c r="W273" s="10"/>
      <c r="X273" s="10"/>
      <c r="Z273" s="1"/>
      <c r="AB273" s="1"/>
      <c r="AF273" s="1"/>
      <c r="AJ273" s="1"/>
      <c r="AL273" s="1"/>
    </row>
    <row r="274" spans="1:38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1"/>
      <c r="M274" s="11"/>
      <c r="N274" s="12"/>
      <c r="O274" s="12"/>
      <c r="P274" s="10"/>
      <c r="Q274" s="10"/>
      <c r="R274" s="10"/>
      <c r="S274" s="13">
        <f>SUM(Table3[[#This Row],[Female ( age less than 17)]:[Male ( More than 18)2]])</f>
        <v>0</v>
      </c>
      <c r="T274" s="10"/>
      <c r="U274" s="10"/>
      <c r="V274" s="10"/>
      <c r="W274" s="10"/>
      <c r="X274" s="10"/>
      <c r="Z274" s="1"/>
      <c r="AB274" s="1"/>
      <c r="AF274" s="1"/>
      <c r="AJ274" s="1"/>
      <c r="AL274" s="1"/>
    </row>
    <row r="275" spans="1:38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1"/>
      <c r="M275" s="11"/>
      <c r="N275" s="12"/>
      <c r="O275" s="12"/>
      <c r="P275" s="10"/>
      <c r="Q275" s="10"/>
      <c r="R275" s="10"/>
      <c r="S275" s="13">
        <f>SUM(Table3[[#This Row],[Female ( age less than 17)]:[Male ( More than 18)2]])</f>
        <v>0</v>
      </c>
      <c r="T275" s="10"/>
      <c r="U275" s="10"/>
      <c r="V275" s="10"/>
      <c r="W275" s="10"/>
      <c r="X275" s="10"/>
      <c r="Z275" s="1"/>
      <c r="AB275" s="1"/>
      <c r="AF275" s="1"/>
      <c r="AJ275" s="1"/>
      <c r="AL275" s="1"/>
    </row>
    <row r="276" spans="1:38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1"/>
      <c r="M276" s="11"/>
      <c r="N276" s="12"/>
      <c r="O276" s="12"/>
      <c r="P276" s="10"/>
      <c r="Q276" s="10"/>
      <c r="R276" s="10"/>
      <c r="S276" s="13">
        <f>SUM(Table3[[#This Row],[Female ( age less than 17)]:[Male ( More than 18)2]])</f>
        <v>0</v>
      </c>
      <c r="T276" s="10"/>
      <c r="U276" s="10"/>
      <c r="V276" s="10"/>
      <c r="W276" s="10"/>
      <c r="X276" s="10"/>
      <c r="Z276" s="1"/>
      <c r="AB276" s="1"/>
      <c r="AF276" s="1"/>
      <c r="AJ276" s="1"/>
      <c r="AL276" s="1"/>
    </row>
    <row r="277" spans="1:38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1"/>
      <c r="M277" s="11"/>
      <c r="N277" s="12"/>
      <c r="O277" s="12"/>
      <c r="P277" s="10"/>
      <c r="Q277" s="10"/>
      <c r="R277" s="10"/>
      <c r="S277" s="13">
        <f>SUM(Table3[[#This Row],[Female ( age less than 17)]:[Male ( More than 18)2]])</f>
        <v>0</v>
      </c>
      <c r="T277" s="10"/>
      <c r="U277" s="10"/>
      <c r="V277" s="10"/>
      <c r="W277" s="10"/>
      <c r="X277" s="10"/>
      <c r="Z277" s="1"/>
      <c r="AB277" s="1"/>
      <c r="AF277" s="1"/>
      <c r="AJ277" s="1"/>
      <c r="AL277" s="1"/>
    </row>
    <row r="278" spans="1:38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1"/>
      <c r="M278" s="11"/>
      <c r="N278" s="12"/>
      <c r="O278" s="12"/>
      <c r="P278" s="10"/>
      <c r="Q278" s="10"/>
      <c r="R278" s="10"/>
      <c r="S278" s="13">
        <f>SUM(Table3[[#This Row],[Female ( age less than 17)]:[Male ( More than 18)2]])</f>
        <v>0</v>
      </c>
      <c r="T278" s="10"/>
      <c r="U278" s="10"/>
      <c r="V278" s="10"/>
      <c r="W278" s="10"/>
      <c r="X278" s="10"/>
      <c r="Z278" s="1"/>
      <c r="AB278" s="1"/>
      <c r="AF278" s="1"/>
      <c r="AJ278" s="1"/>
      <c r="AL278" s="1"/>
    </row>
    <row r="279" spans="1:38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1"/>
      <c r="M279" s="11"/>
      <c r="N279" s="12"/>
      <c r="O279" s="12"/>
      <c r="P279" s="10"/>
      <c r="Q279" s="10"/>
      <c r="R279" s="10"/>
      <c r="S279" s="13">
        <f>SUM(Table3[[#This Row],[Female ( age less than 17)]:[Male ( More than 18)2]])</f>
        <v>0</v>
      </c>
      <c r="T279" s="10"/>
      <c r="U279" s="10"/>
      <c r="V279" s="10"/>
      <c r="W279" s="10"/>
      <c r="X279" s="10"/>
      <c r="Z279" s="1"/>
      <c r="AB279" s="1"/>
      <c r="AF279" s="1"/>
      <c r="AJ279" s="1"/>
      <c r="AL279" s="1"/>
    </row>
    <row r="280" spans="1:38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1"/>
      <c r="M280" s="11"/>
      <c r="N280" s="12"/>
      <c r="O280" s="12"/>
      <c r="P280" s="10"/>
      <c r="Q280" s="10"/>
      <c r="R280" s="10"/>
      <c r="S280" s="13">
        <f>SUM(Table3[[#This Row],[Female ( age less than 17)]:[Male ( More than 18)2]])</f>
        <v>0</v>
      </c>
      <c r="T280" s="10"/>
      <c r="U280" s="10"/>
      <c r="V280" s="10"/>
      <c r="W280" s="10"/>
      <c r="X280" s="10"/>
      <c r="Z280" s="1"/>
      <c r="AB280" s="1"/>
      <c r="AF280" s="1"/>
      <c r="AJ280" s="1"/>
      <c r="AL280" s="1"/>
    </row>
    <row r="281" spans="1:38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1"/>
      <c r="M281" s="11"/>
      <c r="N281" s="12"/>
      <c r="O281" s="12"/>
      <c r="P281" s="10"/>
      <c r="Q281" s="10"/>
      <c r="R281" s="10"/>
      <c r="S281" s="13">
        <f>SUM(Table3[[#This Row],[Female ( age less than 17)]:[Male ( More than 18)2]])</f>
        <v>0</v>
      </c>
      <c r="T281" s="10"/>
      <c r="U281" s="10"/>
      <c r="V281" s="10"/>
      <c r="W281" s="10"/>
      <c r="X281" s="10"/>
      <c r="Z281" s="1"/>
      <c r="AB281" s="1"/>
      <c r="AF281" s="1"/>
      <c r="AJ281" s="1"/>
      <c r="AL281" s="1"/>
    </row>
    <row r="282" spans="1:38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1"/>
      <c r="M282" s="11"/>
      <c r="N282" s="12"/>
      <c r="O282" s="12"/>
      <c r="P282" s="10"/>
      <c r="Q282" s="10"/>
      <c r="R282" s="10"/>
      <c r="S282" s="13">
        <f>SUM(Table3[[#This Row],[Female ( age less than 17)]:[Male ( More than 18)2]])</f>
        <v>0</v>
      </c>
      <c r="T282" s="10"/>
      <c r="U282" s="10"/>
      <c r="V282" s="10"/>
      <c r="W282" s="10"/>
      <c r="X282" s="10"/>
      <c r="Z282" s="1"/>
      <c r="AB282" s="1"/>
      <c r="AF282" s="1"/>
      <c r="AJ282" s="1"/>
      <c r="AL282" s="1"/>
    </row>
    <row r="283" spans="1:38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1"/>
      <c r="M283" s="11"/>
      <c r="N283" s="12"/>
      <c r="O283" s="12"/>
      <c r="P283" s="10"/>
      <c r="Q283" s="10"/>
      <c r="R283" s="10"/>
      <c r="S283" s="13">
        <f>SUM(Table3[[#This Row],[Female ( age less than 17)]:[Male ( More than 18)2]])</f>
        <v>0</v>
      </c>
      <c r="T283" s="10"/>
      <c r="U283" s="10"/>
      <c r="V283" s="10"/>
      <c r="W283" s="10"/>
      <c r="X283" s="10"/>
      <c r="Z283" s="1"/>
      <c r="AB283" s="1"/>
      <c r="AF283" s="1"/>
      <c r="AJ283" s="1"/>
      <c r="AL283" s="1"/>
    </row>
    <row r="284" spans="1:38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1"/>
      <c r="M284" s="11"/>
      <c r="N284" s="12"/>
      <c r="O284" s="12"/>
      <c r="P284" s="10"/>
      <c r="Q284" s="10"/>
      <c r="R284" s="10"/>
      <c r="S284" s="13">
        <f>SUM(Table3[[#This Row],[Female ( age less than 17)]:[Male ( More than 18)2]])</f>
        <v>0</v>
      </c>
      <c r="T284" s="10"/>
      <c r="U284" s="10"/>
      <c r="V284" s="10"/>
      <c r="W284" s="10"/>
      <c r="X284" s="10"/>
      <c r="Z284" s="1"/>
      <c r="AB284" s="1"/>
      <c r="AF284" s="1"/>
      <c r="AJ284" s="1"/>
      <c r="AL284" s="1"/>
    </row>
    <row r="285" spans="1:38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1"/>
      <c r="M285" s="11"/>
      <c r="N285" s="12"/>
      <c r="O285" s="12"/>
      <c r="P285" s="10"/>
      <c r="Q285" s="10"/>
      <c r="R285" s="10"/>
      <c r="S285" s="13">
        <f>SUM(Table3[[#This Row],[Female ( age less than 17)]:[Male ( More than 18)2]])</f>
        <v>0</v>
      </c>
      <c r="T285" s="10"/>
      <c r="U285" s="10"/>
      <c r="V285" s="10"/>
      <c r="W285" s="10"/>
      <c r="X285" s="10"/>
      <c r="Z285" s="1"/>
      <c r="AB285" s="1"/>
      <c r="AF285" s="1"/>
      <c r="AJ285" s="1"/>
      <c r="AL285" s="1"/>
    </row>
    <row r="286" spans="1:38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1"/>
      <c r="M286" s="11"/>
      <c r="N286" s="12"/>
      <c r="O286" s="12"/>
      <c r="P286" s="10"/>
      <c r="Q286" s="10"/>
      <c r="R286" s="10"/>
      <c r="S286" s="13">
        <f>SUM(Table3[[#This Row],[Female ( age less than 17)]:[Male ( More than 18)2]])</f>
        <v>0</v>
      </c>
      <c r="T286" s="10"/>
      <c r="U286" s="10"/>
      <c r="V286" s="10"/>
      <c r="W286" s="10"/>
      <c r="X286" s="10"/>
      <c r="Z286" s="1"/>
      <c r="AB286" s="1"/>
      <c r="AF286" s="1"/>
      <c r="AJ286" s="1"/>
      <c r="AL286" s="1"/>
    </row>
    <row r="287" spans="1:38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1"/>
      <c r="M287" s="11"/>
      <c r="N287" s="12"/>
      <c r="O287" s="12"/>
      <c r="P287" s="10"/>
      <c r="Q287" s="10"/>
      <c r="R287" s="10"/>
      <c r="S287" s="13">
        <f>SUM(Table3[[#This Row],[Female ( age less than 17)]:[Male ( More than 18)2]])</f>
        <v>0</v>
      </c>
      <c r="T287" s="10"/>
      <c r="U287" s="10"/>
      <c r="V287" s="10"/>
      <c r="W287" s="10"/>
      <c r="X287" s="10"/>
      <c r="Z287" s="1"/>
      <c r="AB287" s="1"/>
      <c r="AF287" s="1"/>
      <c r="AJ287" s="1"/>
      <c r="AL287" s="1"/>
    </row>
    <row r="288" spans="1:38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1"/>
      <c r="M288" s="11"/>
      <c r="N288" s="12"/>
      <c r="O288" s="12"/>
      <c r="P288" s="10"/>
      <c r="Q288" s="10"/>
      <c r="R288" s="10"/>
      <c r="S288" s="13">
        <f>SUM(Table3[[#This Row],[Female ( age less than 17)]:[Male ( More than 18)2]])</f>
        <v>0</v>
      </c>
      <c r="T288" s="10"/>
      <c r="U288" s="10"/>
      <c r="V288" s="10"/>
      <c r="W288" s="10"/>
      <c r="X288" s="10"/>
      <c r="Z288" s="1"/>
      <c r="AB288" s="1"/>
      <c r="AF288" s="1"/>
      <c r="AJ288" s="1"/>
      <c r="AL288" s="1"/>
    </row>
    <row r="289" spans="1:38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1"/>
      <c r="M289" s="11"/>
      <c r="N289" s="12"/>
      <c r="O289" s="12"/>
      <c r="P289" s="10"/>
      <c r="Q289" s="10"/>
      <c r="R289" s="10"/>
      <c r="S289" s="13">
        <f>SUM(Table3[[#This Row],[Female ( age less than 17)]:[Male ( More than 18)2]])</f>
        <v>0</v>
      </c>
      <c r="T289" s="10"/>
      <c r="U289" s="10"/>
      <c r="V289" s="10"/>
      <c r="W289" s="10"/>
      <c r="X289" s="10"/>
      <c r="Z289" s="1"/>
      <c r="AB289" s="1"/>
      <c r="AF289" s="1"/>
      <c r="AJ289" s="1"/>
      <c r="AL289" s="1"/>
    </row>
    <row r="290" spans="1:38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1"/>
      <c r="M290" s="11"/>
      <c r="N290" s="12"/>
      <c r="O290" s="12"/>
      <c r="P290" s="10"/>
      <c r="Q290" s="10"/>
      <c r="R290" s="10"/>
      <c r="S290" s="13">
        <f>SUM(Table3[[#This Row],[Female ( age less than 17)]:[Male ( More than 18)2]])</f>
        <v>0</v>
      </c>
      <c r="T290" s="10"/>
      <c r="U290" s="10"/>
      <c r="V290" s="10"/>
      <c r="W290" s="10"/>
      <c r="X290" s="10"/>
      <c r="Z290" s="1"/>
      <c r="AB290" s="1"/>
      <c r="AF290" s="1"/>
      <c r="AJ290" s="1"/>
      <c r="AL290" s="1"/>
    </row>
    <row r="291" spans="1:38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1"/>
      <c r="M291" s="11"/>
      <c r="N291" s="12"/>
      <c r="O291" s="12"/>
      <c r="P291" s="10"/>
      <c r="Q291" s="10"/>
      <c r="R291" s="10"/>
      <c r="S291" s="13">
        <f>SUM(Table3[[#This Row],[Female ( age less than 17)]:[Male ( More than 18)2]])</f>
        <v>0</v>
      </c>
      <c r="T291" s="10"/>
      <c r="U291" s="10"/>
      <c r="V291" s="10"/>
      <c r="W291" s="10"/>
      <c r="X291" s="10"/>
      <c r="Z291" s="1"/>
      <c r="AB291" s="1"/>
      <c r="AF291" s="1"/>
      <c r="AJ291" s="1"/>
      <c r="AL291" s="1"/>
    </row>
    <row r="292" spans="1:38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1"/>
      <c r="M292" s="11"/>
      <c r="N292" s="12"/>
      <c r="O292" s="12"/>
      <c r="P292" s="10"/>
      <c r="Q292" s="10"/>
      <c r="R292" s="10"/>
      <c r="S292" s="13">
        <f>SUM(Table3[[#This Row],[Female ( age less than 17)]:[Male ( More than 18)2]])</f>
        <v>0</v>
      </c>
      <c r="T292" s="10"/>
      <c r="U292" s="10"/>
      <c r="V292" s="10"/>
      <c r="W292" s="10"/>
      <c r="X292" s="10"/>
      <c r="Z292" s="1"/>
      <c r="AB292" s="1"/>
      <c r="AF292" s="1"/>
      <c r="AJ292" s="1"/>
      <c r="AL292" s="1"/>
    </row>
    <row r="293" spans="1:38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1"/>
      <c r="M293" s="11"/>
      <c r="N293" s="12"/>
      <c r="O293" s="12"/>
      <c r="P293" s="10"/>
      <c r="Q293" s="10"/>
      <c r="R293" s="10"/>
      <c r="S293" s="13">
        <f>SUM(Table3[[#This Row],[Female ( age less than 17)]:[Male ( More than 18)2]])</f>
        <v>0</v>
      </c>
      <c r="T293" s="10"/>
      <c r="U293" s="10"/>
      <c r="V293" s="10"/>
      <c r="W293" s="10"/>
      <c r="X293" s="10"/>
      <c r="Z293" s="1"/>
      <c r="AB293" s="1"/>
      <c r="AF293" s="1"/>
      <c r="AJ293" s="1"/>
      <c r="AL293" s="1"/>
    </row>
    <row r="294" spans="1:38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1"/>
      <c r="M294" s="11"/>
      <c r="N294" s="12"/>
      <c r="O294" s="12"/>
      <c r="P294" s="10"/>
      <c r="Q294" s="10"/>
      <c r="R294" s="10"/>
      <c r="S294" s="13">
        <f>SUM(Table3[[#This Row],[Female ( age less than 17)]:[Male ( More than 18)2]])</f>
        <v>0</v>
      </c>
      <c r="T294" s="10"/>
      <c r="U294" s="10"/>
      <c r="V294" s="10"/>
      <c r="W294" s="10"/>
      <c r="X294" s="10"/>
      <c r="Z294" s="1"/>
      <c r="AB294" s="1"/>
      <c r="AF294" s="1"/>
      <c r="AJ294" s="1"/>
      <c r="AL294" s="1"/>
    </row>
    <row r="295" spans="1:38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1"/>
      <c r="M295" s="11"/>
      <c r="N295" s="12"/>
      <c r="O295" s="12"/>
      <c r="P295" s="10"/>
      <c r="Q295" s="10"/>
      <c r="R295" s="10"/>
      <c r="S295" s="13">
        <f>SUM(Table3[[#This Row],[Female ( age less than 17)]:[Male ( More than 18)2]])</f>
        <v>0</v>
      </c>
      <c r="T295" s="10"/>
      <c r="U295" s="10"/>
      <c r="V295" s="10"/>
      <c r="W295" s="10"/>
      <c r="X295" s="10"/>
      <c r="Z295" s="1"/>
      <c r="AB295" s="1"/>
      <c r="AF295" s="1"/>
      <c r="AJ295" s="1"/>
      <c r="AL295" s="1"/>
    </row>
    <row r="296" spans="1:38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1"/>
      <c r="M296" s="11"/>
      <c r="N296" s="12"/>
      <c r="O296" s="12"/>
      <c r="P296" s="10"/>
      <c r="Q296" s="10"/>
      <c r="R296" s="10"/>
      <c r="S296" s="13">
        <f>SUM(Table3[[#This Row],[Female ( age less than 17)]:[Male ( More than 18)2]])</f>
        <v>0</v>
      </c>
      <c r="T296" s="10"/>
      <c r="U296" s="10"/>
      <c r="V296" s="10"/>
      <c r="W296" s="10"/>
      <c r="X296" s="10"/>
      <c r="Z296" s="1"/>
      <c r="AB296" s="1"/>
      <c r="AF296" s="1"/>
      <c r="AJ296" s="1"/>
      <c r="AL296" s="1"/>
    </row>
    <row r="297" spans="1:38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1"/>
      <c r="M297" s="11"/>
      <c r="N297" s="12"/>
      <c r="O297" s="12"/>
      <c r="P297" s="10"/>
      <c r="Q297" s="10"/>
      <c r="R297" s="10"/>
      <c r="S297" s="13">
        <f>SUM(Table3[[#This Row],[Female ( age less than 17)]:[Male ( More than 18)2]])</f>
        <v>0</v>
      </c>
      <c r="T297" s="10"/>
      <c r="U297" s="10"/>
      <c r="V297" s="10"/>
      <c r="W297" s="10"/>
      <c r="X297" s="10"/>
      <c r="Z297" s="1"/>
      <c r="AB297" s="1"/>
      <c r="AF297" s="1"/>
      <c r="AJ297" s="1"/>
      <c r="AL297" s="1"/>
    </row>
    <row r="298" spans="1:38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1"/>
      <c r="M298" s="11"/>
      <c r="N298" s="12"/>
      <c r="O298" s="12"/>
      <c r="P298" s="10"/>
      <c r="Q298" s="10"/>
      <c r="R298" s="10"/>
      <c r="S298" s="13">
        <f>SUM(Table3[[#This Row],[Female ( age less than 17)]:[Male ( More than 18)2]])</f>
        <v>0</v>
      </c>
      <c r="T298" s="10"/>
      <c r="U298" s="10"/>
      <c r="V298" s="10"/>
      <c r="W298" s="10"/>
      <c r="X298" s="10"/>
      <c r="Z298" s="1"/>
      <c r="AB298" s="1"/>
      <c r="AF298" s="1"/>
      <c r="AJ298" s="1"/>
      <c r="AL298" s="1"/>
    </row>
    <row r="299" spans="1:38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1"/>
      <c r="M299" s="11"/>
      <c r="N299" s="12"/>
      <c r="O299" s="12"/>
      <c r="P299" s="10"/>
      <c r="Q299" s="10"/>
      <c r="R299" s="10"/>
      <c r="S299" s="13">
        <f>SUM(Table3[[#This Row],[Female ( age less than 17)]:[Male ( More than 18)2]])</f>
        <v>0</v>
      </c>
      <c r="T299" s="10"/>
      <c r="U299" s="10"/>
      <c r="V299" s="10"/>
      <c r="W299" s="10"/>
      <c r="X299" s="10"/>
      <c r="Z299" s="1"/>
      <c r="AB299" s="1"/>
      <c r="AF299" s="1"/>
      <c r="AJ299" s="1"/>
      <c r="AL299" s="1"/>
    </row>
    <row r="300" spans="1:38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1"/>
      <c r="M300" s="11"/>
      <c r="N300" s="12"/>
      <c r="O300" s="12"/>
      <c r="P300" s="10"/>
      <c r="Q300" s="10"/>
      <c r="R300" s="10"/>
      <c r="S300" s="13">
        <f>SUM(Table3[[#This Row],[Female ( age less than 17)]:[Male ( More than 18)2]])</f>
        <v>0</v>
      </c>
      <c r="T300" s="10"/>
      <c r="U300" s="10"/>
      <c r="V300" s="10"/>
      <c r="W300" s="10"/>
      <c r="X300" s="10"/>
      <c r="Z300" s="1"/>
      <c r="AB300" s="1"/>
      <c r="AF300" s="1"/>
      <c r="AJ300" s="1"/>
      <c r="AL300" s="1"/>
    </row>
    <row r="301" spans="1:38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1"/>
      <c r="M301" s="11"/>
      <c r="N301" s="12"/>
      <c r="O301" s="12"/>
      <c r="P301" s="10"/>
      <c r="Q301" s="10"/>
      <c r="R301" s="10"/>
      <c r="S301" s="13">
        <f>SUM(Table3[[#This Row],[Female ( age less than 17)]:[Male ( More than 18)2]])</f>
        <v>0</v>
      </c>
      <c r="T301" s="10"/>
      <c r="U301" s="10"/>
      <c r="V301" s="10"/>
      <c r="W301" s="10"/>
      <c r="X301" s="10"/>
      <c r="Z301" s="1"/>
      <c r="AB301" s="1"/>
      <c r="AF301" s="1"/>
      <c r="AJ301" s="1"/>
      <c r="AL301" s="1"/>
    </row>
    <row r="302" spans="1:38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1"/>
      <c r="M302" s="11"/>
      <c r="N302" s="12"/>
      <c r="O302" s="12"/>
      <c r="P302" s="10"/>
      <c r="Q302" s="10"/>
      <c r="R302" s="10"/>
      <c r="S302" s="13">
        <f>SUM(Table3[[#This Row],[Female ( age less than 17)]:[Male ( More than 18)2]])</f>
        <v>0</v>
      </c>
      <c r="T302" s="10"/>
      <c r="U302" s="10"/>
      <c r="V302" s="10"/>
      <c r="W302" s="10"/>
      <c r="X302" s="10"/>
      <c r="Z302" s="1"/>
      <c r="AB302" s="1"/>
      <c r="AF302" s="1"/>
      <c r="AJ302" s="1"/>
      <c r="AL302" s="1"/>
    </row>
    <row r="303" spans="1:38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1"/>
      <c r="M303" s="11"/>
      <c r="N303" s="12"/>
      <c r="O303" s="12"/>
      <c r="P303" s="10"/>
      <c r="Q303" s="10"/>
      <c r="R303" s="10"/>
      <c r="S303" s="13">
        <f>SUM(Table3[[#This Row],[Female ( age less than 17)]:[Male ( More than 18)2]])</f>
        <v>0</v>
      </c>
      <c r="T303" s="10"/>
      <c r="U303" s="10"/>
      <c r="V303" s="10"/>
      <c r="W303" s="10"/>
      <c r="X303" s="10"/>
      <c r="Z303" s="1"/>
      <c r="AB303" s="1"/>
      <c r="AF303" s="1"/>
      <c r="AJ303" s="1"/>
      <c r="AL303" s="1"/>
    </row>
    <row r="304" spans="1:38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1"/>
      <c r="M304" s="11"/>
      <c r="N304" s="12"/>
      <c r="O304" s="12"/>
      <c r="P304" s="10"/>
      <c r="Q304" s="10"/>
      <c r="R304" s="10"/>
      <c r="S304" s="13">
        <f>SUM(Table3[[#This Row],[Female ( age less than 17)]:[Male ( More than 18)2]])</f>
        <v>0</v>
      </c>
      <c r="T304" s="10"/>
      <c r="U304" s="10"/>
      <c r="V304" s="10"/>
      <c r="W304" s="10"/>
      <c r="X304" s="10"/>
      <c r="Z304" s="1"/>
      <c r="AB304" s="1"/>
      <c r="AF304" s="1"/>
      <c r="AJ304" s="1"/>
      <c r="AL304" s="1"/>
    </row>
    <row r="305" spans="1:38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1"/>
      <c r="M305" s="11"/>
      <c r="N305" s="12"/>
      <c r="O305" s="12"/>
      <c r="P305" s="10"/>
      <c r="Q305" s="10"/>
      <c r="R305" s="10"/>
      <c r="S305" s="13">
        <f>SUM(Table3[[#This Row],[Female ( age less than 17)]:[Male ( More than 18)2]])</f>
        <v>0</v>
      </c>
      <c r="T305" s="10"/>
      <c r="U305" s="10"/>
      <c r="V305" s="10"/>
      <c r="W305" s="10"/>
      <c r="X305" s="10"/>
      <c r="Z305" s="1"/>
      <c r="AB305" s="1"/>
      <c r="AF305" s="1"/>
      <c r="AJ305" s="1"/>
      <c r="AL305" s="1"/>
    </row>
    <row r="306" spans="1:38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1"/>
      <c r="M306" s="11"/>
      <c r="N306" s="12"/>
      <c r="O306" s="12"/>
      <c r="P306" s="10"/>
      <c r="Q306" s="10"/>
      <c r="R306" s="10"/>
      <c r="S306" s="13">
        <f>SUM(Table3[[#This Row],[Female ( age less than 17)]:[Male ( More than 18)2]])</f>
        <v>0</v>
      </c>
      <c r="T306" s="10"/>
      <c r="U306" s="10"/>
      <c r="V306" s="10"/>
      <c r="W306" s="10"/>
      <c r="X306" s="10"/>
      <c r="Z306" s="1"/>
      <c r="AB306" s="1"/>
      <c r="AF306" s="1"/>
      <c r="AJ306" s="1"/>
      <c r="AL306" s="1"/>
    </row>
    <row r="307" spans="1:38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1"/>
      <c r="M307" s="11"/>
      <c r="N307" s="12"/>
      <c r="O307" s="12"/>
      <c r="P307" s="10"/>
      <c r="Q307" s="10"/>
      <c r="R307" s="10"/>
      <c r="S307" s="13">
        <f>SUM(Table3[[#This Row],[Female ( age less than 17)]:[Male ( More than 18)2]])</f>
        <v>0</v>
      </c>
      <c r="T307" s="10"/>
      <c r="U307" s="10"/>
      <c r="V307" s="10"/>
      <c r="W307" s="10"/>
      <c r="X307" s="10"/>
      <c r="Z307" s="1"/>
      <c r="AB307" s="1"/>
      <c r="AF307" s="1"/>
      <c r="AJ307" s="1"/>
      <c r="AL307" s="1"/>
    </row>
    <row r="308" spans="1:38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1"/>
      <c r="M308" s="11"/>
      <c r="N308" s="12"/>
      <c r="O308" s="12"/>
      <c r="P308" s="10"/>
      <c r="Q308" s="10"/>
      <c r="R308" s="10"/>
      <c r="S308" s="13">
        <f>SUM(Table3[[#This Row],[Female ( age less than 17)]:[Male ( More than 18)2]])</f>
        <v>0</v>
      </c>
      <c r="T308" s="10"/>
      <c r="U308" s="10"/>
      <c r="V308" s="10"/>
      <c r="W308" s="10"/>
      <c r="X308" s="10"/>
      <c r="Z308" s="1"/>
      <c r="AB308" s="1"/>
      <c r="AF308" s="1"/>
      <c r="AJ308" s="1"/>
      <c r="AL308" s="1"/>
    </row>
    <row r="309" spans="1:38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1"/>
      <c r="M309" s="11"/>
      <c r="N309" s="12"/>
      <c r="O309" s="12"/>
      <c r="P309" s="10"/>
      <c r="Q309" s="10"/>
      <c r="R309" s="10"/>
      <c r="S309" s="13">
        <f>SUM(Table3[[#This Row],[Female ( age less than 17)]:[Male ( More than 18)2]])</f>
        <v>0</v>
      </c>
      <c r="T309" s="10"/>
      <c r="U309" s="10"/>
      <c r="V309" s="10"/>
      <c r="W309" s="10"/>
      <c r="X309" s="10"/>
      <c r="Z309" s="1"/>
      <c r="AB309" s="1"/>
      <c r="AF309" s="1"/>
      <c r="AJ309" s="1"/>
      <c r="AL309" s="1"/>
    </row>
    <row r="310" spans="1:38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1"/>
      <c r="M310" s="11"/>
      <c r="N310" s="12"/>
      <c r="O310" s="12"/>
      <c r="P310" s="10"/>
      <c r="Q310" s="10"/>
      <c r="R310" s="10"/>
      <c r="S310" s="13">
        <f>SUM(Table3[[#This Row],[Female ( age less than 17)]:[Male ( More than 18)2]])</f>
        <v>0</v>
      </c>
      <c r="T310" s="10"/>
      <c r="U310" s="10"/>
      <c r="V310" s="10"/>
      <c r="W310" s="10"/>
      <c r="X310" s="10"/>
      <c r="Z310" s="1"/>
      <c r="AB310" s="1"/>
      <c r="AF310" s="1"/>
      <c r="AJ310" s="1"/>
      <c r="AL310" s="1"/>
    </row>
    <row r="311" spans="1:38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1"/>
      <c r="M311" s="11"/>
      <c r="N311" s="12"/>
      <c r="O311" s="12"/>
      <c r="P311" s="10"/>
      <c r="Q311" s="10"/>
      <c r="R311" s="10"/>
      <c r="S311" s="13">
        <f>SUM(Table3[[#This Row],[Female ( age less than 17)]:[Male ( More than 18)2]])</f>
        <v>0</v>
      </c>
      <c r="T311" s="10"/>
      <c r="U311" s="10"/>
      <c r="V311" s="10"/>
      <c r="W311" s="10"/>
      <c r="X311" s="10"/>
      <c r="Z311" s="1"/>
      <c r="AB311" s="1"/>
      <c r="AF311" s="1"/>
      <c r="AJ311" s="1"/>
      <c r="AL311" s="1"/>
    </row>
    <row r="312" spans="1:38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1"/>
      <c r="M312" s="11"/>
      <c r="N312" s="12"/>
      <c r="O312" s="12"/>
      <c r="P312" s="10"/>
      <c r="Q312" s="10"/>
      <c r="R312" s="10"/>
      <c r="S312" s="13">
        <f>SUM(Table3[[#This Row],[Female ( age less than 17)]:[Male ( More than 18)2]])</f>
        <v>0</v>
      </c>
      <c r="T312" s="10"/>
      <c r="U312" s="10"/>
      <c r="V312" s="10"/>
      <c r="W312" s="10"/>
      <c r="X312" s="10"/>
      <c r="Z312" s="1"/>
      <c r="AB312" s="1"/>
      <c r="AF312" s="1"/>
      <c r="AJ312" s="1"/>
      <c r="AL312" s="1"/>
    </row>
    <row r="313" spans="1:38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1"/>
      <c r="M313" s="11"/>
      <c r="N313" s="12"/>
      <c r="O313" s="12"/>
      <c r="P313" s="10"/>
      <c r="Q313" s="10"/>
      <c r="R313" s="10"/>
      <c r="S313" s="13">
        <f>SUM(Table3[[#This Row],[Female ( age less than 17)]:[Male ( More than 18)2]])</f>
        <v>0</v>
      </c>
      <c r="T313" s="10"/>
      <c r="U313" s="10"/>
      <c r="V313" s="10"/>
      <c r="W313" s="10"/>
      <c r="X313" s="10"/>
      <c r="Z313" s="1"/>
      <c r="AB313" s="1"/>
      <c r="AF313" s="1"/>
      <c r="AJ313" s="1"/>
      <c r="AL313" s="1"/>
    </row>
    <row r="314" spans="1:38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1"/>
      <c r="M314" s="11"/>
      <c r="N314" s="12"/>
      <c r="O314" s="12"/>
      <c r="P314" s="10"/>
      <c r="Q314" s="10"/>
      <c r="R314" s="10"/>
      <c r="S314" s="13">
        <f>SUM(Table3[[#This Row],[Female ( age less than 17)]:[Male ( More than 18)2]])</f>
        <v>0</v>
      </c>
      <c r="T314" s="10"/>
      <c r="U314" s="10"/>
      <c r="V314" s="10"/>
      <c r="W314" s="10"/>
      <c r="X314" s="10"/>
      <c r="Z314" s="1"/>
      <c r="AB314" s="1"/>
      <c r="AF314" s="1"/>
      <c r="AJ314" s="1"/>
      <c r="AL314" s="1"/>
    </row>
    <row r="315" spans="1:38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1"/>
      <c r="M315" s="11"/>
      <c r="N315" s="12"/>
      <c r="O315" s="12"/>
      <c r="P315" s="10"/>
      <c r="Q315" s="10"/>
      <c r="R315" s="10"/>
      <c r="S315" s="13">
        <f>SUM(Table3[[#This Row],[Female ( age less than 17)]:[Male ( More than 18)2]])</f>
        <v>0</v>
      </c>
      <c r="T315" s="10"/>
      <c r="U315" s="10"/>
      <c r="V315" s="10"/>
      <c r="W315" s="10"/>
      <c r="X315" s="10"/>
      <c r="Z315" s="1"/>
      <c r="AB315" s="1"/>
      <c r="AF315" s="1"/>
      <c r="AJ315" s="1"/>
      <c r="AL315" s="1"/>
    </row>
    <row r="316" spans="1:38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1"/>
      <c r="M316" s="11"/>
      <c r="N316" s="12"/>
      <c r="O316" s="12"/>
      <c r="P316" s="10"/>
      <c r="Q316" s="10"/>
      <c r="R316" s="10"/>
      <c r="S316" s="13">
        <f>SUM(Table3[[#This Row],[Female ( age less than 17)]:[Male ( More than 18)2]])</f>
        <v>0</v>
      </c>
      <c r="T316" s="10"/>
      <c r="U316" s="10"/>
      <c r="V316" s="10"/>
      <c r="W316" s="10"/>
      <c r="X316" s="10"/>
      <c r="Z316" s="1"/>
      <c r="AB316" s="1"/>
      <c r="AF316" s="1"/>
      <c r="AJ316" s="1"/>
      <c r="AL316" s="1"/>
    </row>
    <row r="317" spans="1:38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1"/>
      <c r="M317" s="11"/>
      <c r="N317" s="12"/>
      <c r="O317" s="12"/>
      <c r="P317" s="10"/>
      <c r="Q317" s="10"/>
      <c r="R317" s="10"/>
      <c r="S317" s="13">
        <f>SUM(Table3[[#This Row],[Female ( age less than 17)]:[Male ( More than 18)2]])</f>
        <v>0</v>
      </c>
      <c r="T317" s="10"/>
      <c r="U317" s="10"/>
      <c r="V317" s="10"/>
      <c r="W317" s="10"/>
      <c r="X317" s="10"/>
      <c r="Z317" s="1"/>
      <c r="AB317" s="1"/>
      <c r="AF317" s="1"/>
      <c r="AJ317" s="1"/>
      <c r="AL317" s="1"/>
    </row>
    <row r="318" spans="1:38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1"/>
      <c r="M318" s="11"/>
      <c r="N318" s="12"/>
      <c r="O318" s="12"/>
      <c r="P318" s="10"/>
      <c r="Q318" s="10"/>
      <c r="R318" s="10"/>
      <c r="S318" s="13">
        <f>SUM(Table3[[#This Row],[Female ( age less than 17)]:[Male ( More than 18)2]])</f>
        <v>0</v>
      </c>
      <c r="T318" s="10"/>
      <c r="U318" s="10"/>
      <c r="V318" s="10"/>
      <c r="W318" s="10"/>
      <c r="X318" s="10"/>
      <c r="Z318" s="1"/>
      <c r="AB318" s="1"/>
      <c r="AF318" s="1"/>
      <c r="AJ318" s="1"/>
      <c r="AL318" s="1"/>
    </row>
    <row r="319" spans="1:38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1"/>
      <c r="M319" s="11"/>
      <c r="N319" s="12"/>
      <c r="O319" s="12"/>
      <c r="P319" s="10"/>
      <c r="Q319" s="10"/>
      <c r="R319" s="10"/>
      <c r="S319" s="13">
        <f>SUM(Table3[[#This Row],[Female ( age less than 17)]:[Male ( More than 18)2]])</f>
        <v>0</v>
      </c>
      <c r="T319" s="10"/>
      <c r="U319" s="10"/>
      <c r="V319" s="10"/>
      <c r="W319" s="10"/>
      <c r="X319" s="10"/>
      <c r="Z319" s="1"/>
      <c r="AB319" s="1"/>
      <c r="AF319" s="1"/>
      <c r="AJ319" s="1"/>
      <c r="AL319" s="1"/>
    </row>
    <row r="320" spans="1:38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1"/>
      <c r="M320" s="11"/>
      <c r="N320" s="12"/>
      <c r="O320" s="12"/>
      <c r="P320" s="10"/>
      <c r="Q320" s="10"/>
      <c r="R320" s="10"/>
      <c r="S320" s="13">
        <f>SUM(Table3[[#This Row],[Female ( age less than 17)]:[Male ( More than 18)2]])</f>
        <v>0</v>
      </c>
      <c r="T320" s="10"/>
      <c r="U320" s="10"/>
      <c r="V320" s="10"/>
      <c r="W320" s="10"/>
      <c r="X320" s="10"/>
      <c r="Z320" s="1"/>
      <c r="AB320" s="1"/>
      <c r="AF320" s="1"/>
      <c r="AJ320" s="1"/>
      <c r="AL320" s="1"/>
    </row>
    <row r="321" spans="1:38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1"/>
      <c r="M321" s="11"/>
      <c r="N321" s="12"/>
      <c r="O321" s="12"/>
      <c r="P321" s="10"/>
      <c r="Q321" s="10"/>
      <c r="R321" s="10"/>
      <c r="S321" s="13">
        <f>SUM(Table3[[#This Row],[Female ( age less than 17)]:[Male ( More than 18)2]])</f>
        <v>0</v>
      </c>
      <c r="T321" s="10"/>
      <c r="U321" s="10"/>
      <c r="V321" s="10"/>
      <c r="W321" s="10"/>
      <c r="X321" s="10"/>
      <c r="Z321" s="1"/>
      <c r="AB321" s="1"/>
      <c r="AF321" s="1"/>
      <c r="AJ321" s="1"/>
      <c r="AL321" s="1"/>
    </row>
    <row r="322" spans="1:38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1"/>
      <c r="M322" s="11"/>
      <c r="N322" s="12"/>
      <c r="O322" s="12"/>
      <c r="P322" s="10"/>
      <c r="Q322" s="10"/>
      <c r="R322" s="10"/>
      <c r="S322" s="13">
        <f>SUM(Table3[[#This Row],[Female ( age less than 17)]:[Male ( More than 18)2]])</f>
        <v>0</v>
      </c>
      <c r="T322" s="10"/>
      <c r="U322" s="10"/>
      <c r="V322" s="10"/>
      <c r="W322" s="10"/>
      <c r="X322" s="10"/>
      <c r="Z322" s="1"/>
      <c r="AB322" s="1"/>
      <c r="AF322" s="1"/>
      <c r="AJ322" s="1"/>
      <c r="AL322" s="1"/>
    </row>
    <row r="323" spans="1:38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1"/>
      <c r="M323" s="11"/>
      <c r="N323" s="12"/>
      <c r="O323" s="12"/>
      <c r="P323" s="10"/>
      <c r="Q323" s="10"/>
      <c r="R323" s="10"/>
      <c r="S323" s="13">
        <f>SUM(Table3[[#This Row],[Female ( age less than 17)]:[Male ( More than 18)2]])</f>
        <v>0</v>
      </c>
      <c r="T323" s="10"/>
      <c r="U323" s="10"/>
      <c r="V323" s="10"/>
      <c r="W323" s="10"/>
      <c r="X323" s="10"/>
      <c r="Z323" s="1"/>
      <c r="AB323" s="1"/>
      <c r="AF323" s="1"/>
      <c r="AJ323" s="1"/>
      <c r="AL323" s="1"/>
    </row>
    <row r="324" spans="1:38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1"/>
      <c r="M324" s="11"/>
      <c r="N324" s="12"/>
      <c r="O324" s="12"/>
      <c r="P324" s="10"/>
      <c r="Q324" s="10"/>
      <c r="R324" s="10"/>
      <c r="S324" s="13">
        <f>SUM(Table3[[#This Row],[Female ( age less than 17)]:[Male ( More than 18)2]])</f>
        <v>0</v>
      </c>
      <c r="T324" s="10"/>
      <c r="U324" s="10"/>
      <c r="V324" s="10"/>
      <c r="W324" s="10"/>
      <c r="X324" s="10"/>
      <c r="Z324" s="1"/>
      <c r="AB324" s="1"/>
      <c r="AF324" s="1"/>
      <c r="AJ324" s="1"/>
      <c r="AL324" s="1"/>
    </row>
    <row r="325" spans="1:38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1"/>
      <c r="M325" s="11"/>
      <c r="N325" s="12"/>
      <c r="O325" s="12"/>
      <c r="P325" s="10"/>
      <c r="Q325" s="10"/>
      <c r="R325" s="10"/>
      <c r="S325" s="13">
        <f>SUM(Table3[[#This Row],[Female ( age less than 17)]:[Male ( More than 18)2]])</f>
        <v>0</v>
      </c>
      <c r="T325" s="10"/>
      <c r="U325" s="10"/>
      <c r="V325" s="10"/>
      <c r="W325" s="10"/>
      <c r="X325" s="10"/>
      <c r="Z325" s="1"/>
      <c r="AB325" s="1"/>
      <c r="AF325" s="1"/>
      <c r="AJ325" s="1"/>
      <c r="AL325" s="1"/>
    </row>
    <row r="326" spans="1:38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1"/>
      <c r="M326" s="11"/>
      <c r="N326" s="12"/>
      <c r="O326" s="12"/>
      <c r="P326" s="10"/>
      <c r="Q326" s="10"/>
      <c r="R326" s="10"/>
      <c r="S326" s="13">
        <f>SUM(Table3[[#This Row],[Female ( age less than 17)]:[Male ( More than 18)2]])</f>
        <v>0</v>
      </c>
      <c r="T326" s="10"/>
      <c r="U326" s="10"/>
      <c r="V326" s="10"/>
      <c r="W326" s="10"/>
      <c r="X326" s="10"/>
      <c r="Z326" s="1"/>
      <c r="AB326" s="1"/>
      <c r="AF326" s="1"/>
      <c r="AJ326" s="1"/>
      <c r="AL326" s="1"/>
    </row>
    <row r="327" spans="1:38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1"/>
      <c r="M327" s="11"/>
      <c r="N327" s="12"/>
      <c r="O327" s="12"/>
      <c r="P327" s="10"/>
      <c r="Q327" s="10"/>
      <c r="R327" s="10"/>
      <c r="S327" s="13">
        <f>SUM(Table3[[#This Row],[Female ( age less than 17)]:[Male ( More than 18)2]])</f>
        <v>0</v>
      </c>
      <c r="T327" s="10"/>
      <c r="U327" s="10"/>
      <c r="V327" s="10"/>
      <c r="W327" s="10"/>
      <c r="X327" s="10"/>
      <c r="Z327" s="1"/>
      <c r="AB327" s="1"/>
      <c r="AF327" s="1"/>
      <c r="AJ327" s="1"/>
      <c r="AL327" s="1"/>
    </row>
    <row r="328" spans="1:38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1"/>
      <c r="M328" s="11"/>
      <c r="N328" s="12"/>
      <c r="O328" s="12"/>
      <c r="P328" s="10"/>
      <c r="Q328" s="10"/>
      <c r="R328" s="10"/>
      <c r="S328" s="13">
        <f>SUM(Table3[[#This Row],[Female ( age less than 17)]:[Male ( More than 18)2]])</f>
        <v>0</v>
      </c>
      <c r="T328" s="10"/>
      <c r="U328" s="10"/>
      <c r="V328" s="10"/>
      <c r="W328" s="10"/>
      <c r="X328" s="10"/>
      <c r="Z328" s="1"/>
      <c r="AB328" s="1"/>
      <c r="AF328" s="1"/>
      <c r="AJ328" s="1"/>
      <c r="AL328" s="1"/>
    </row>
    <row r="329" spans="1:38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1"/>
      <c r="M329" s="11"/>
      <c r="N329" s="12"/>
      <c r="O329" s="12"/>
      <c r="P329" s="10"/>
      <c r="Q329" s="10"/>
      <c r="R329" s="10"/>
      <c r="S329" s="13">
        <f>SUM(Table3[[#This Row],[Female ( age less than 17)]:[Male ( More than 18)2]])</f>
        <v>0</v>
      </c>
      <c r="T329" s="10"/>
      <c r="U329" s="10"/>
      <c r="V329" s="10"/>
      <c r="W329" s="10"/>
      <c r="X329" s="10"/>
      <c r="Z329" s="1"/>
      <c r="AB329" s="1"/>
      <c r="AF329" s="1"/>
      <c r="AJ329" s="1"/>
      <c r="AL329" s="1"/>
    </row>
    <row r="330" spans="1:38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1"/>
      <c r="M330" s="11"/>
      <c r="N330" s="12"/>
      <c r="O330" s="12"/>
      <c r="P330" s="10"/>
      <c r="Q330" s="10"/>
      <c r="R330" s="10"/>
      <c r="S330" s="13">
        <f>SUM(Table3[[#This Row],[Female ( age less than 17)]:[Male ( More than 18)2]])</f>
        <v>0</v>
      </c>
      <c r="T330" s="10"/>
      <c r="U330" s="10"/>
      <c r="V330" s="10"/>
      <c r="W330" s="10"/>
      <c r="X330" s="10"/>
      <c r="Z330" s="1"/>
      <c r="AB330" s="1"/>
      <c r="AF330" s="1"/>
      <c r="AJ330" s="1"/>
      <c r="AL330" s="1"/>
    </row>
    <row r="331" spans="1:38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1"/>
      <c r="M331" s="11"/>
      <c r="N331" s="12"/>
      <c r="O331" s="12"/>
      <c r="P331" s="10"/>
      <c r="Q331" s="10"/>
      <c r="R331" s="10"/>
      <c r="S331" s="13">
        <f>SUM(Table3[[#This Row],[Female ( age less than 17)]:[Male ( More than 18)2]])</f>
        <v>0</v>
      </c>
      <c r="T331" s="10"/>
      <c r="U331" s="10"/>
      <c r="V331" s="10"/>
      <c r="W331" s="10"/>
      <c r="X331" s="10"/>
      <c r="Z331" s="1"/>
      <c r="AB331" s="1"/>
      <c r="AF331" s="1"/>
      <c r="AJ331" s="1"/>
      <c r="AL331" s="1"/>
    </row>
    <row r="332" spans="1:38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1"/>
      <c r="M332" s="11"/>
      <c r="N332" s="12"/>
      <c r="O332" s="12"/>
      <c r="P332" s="10"/>
      <c r="Q332" s="10"/>
      <c r="R332" s="10"/>
      <c r="S332" s="13">
        <f>SUM(Table3[[#This Row],[Female ( age less than 17)]:[Male ( More than 18)2]])</f>
        <v>0</v>
      </c>
      <c r="T332" s="10"/>
      <c r="U332" s="10"/>
      <c r="V332" s="10"/>
      <c r="W332" s="10"/>
      <c r="X332" s="10"/>
      <c r="Z332" s="1"/>
      <c r="AB332" s="1"/>
      <c r="AF332" s="1"/>
      <c r="AJ332" s="1"/>
      <c r="AL332" s="1"/>
    </row>
    <row r="333" spans="1:38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1"/>
      <c r="M333" s="11"/>
      <c r="N333" s="12"/>
      <c r="O333" s="12"/>
      <c r="P333" s="10"/>
      <c r="Q333" s="10"/>
      <c r="R333" s="10"/>
      <c r="S333" s="13">
        <f>SUM(Table3[[#This Row],[Female ( age less than 17)]:[Male ( More than 18)2]])</f>
        <v>0</v>
      </c>
      <c r="T333" s="10"/>
      <c r="U333" s="10"/>
      <c r="V333" s="10"/>
      <c r="W333" s="10"/>
      <c r="X333" s="10"/>
      <c r="Z333" s="1"/>
      <c r="AB333" s="1"/>
      <c r="AF333" s="1"/>
      <c r="AJ333" s="1"/>
      <c r="AL333" s="1"/>
    </row>
    <row r="334" spans="1:38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1"/>
      <c r="M334" s="11"/>
      <c r="N334" s="12"/>
      <c r="O334" s="12"/>
      <c r="P334" s="10"/>
      <c r="Q334" s="10"/>
      <c r="R334" s="10"/>
      <c r="S334" s="13">
        <f>SUM(Table3[[#This Row],[Female ( age less than 17)]:[Male ( More than 18)2]])</f>
        <v>0</v>
      </c>
      <c r="T334" s="10"/>
      <c r="U334" s="10"/>
      <c r="V334" s="10"/>
      <c r="W334" s="10"/>
      <c r="X334" s="10"/>
      <c r="Z334" s="1"/>
      <c r="AB334" s="1"/>
      <c r="AF334" s="1"/>
      <c r="AJ334" s="1"/>
      <c r="AL334" s="1"/>
    </row>
    <row r="335" spans="1:38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1"/>
      <c r="M335" s="11"/>
      <c r="N335" s="12"/>
      <c r="O335" s="12"/>
      <c r="P335" s="10"/>
      <c r="Q335" s="10"/>
      <c r="R335" s="10"/>
      <c r="S335" s="13">
        <f>SUM(Table3[[#This Row],[Female ( age less than 17)]:[Male ( More than 18)2]])</f>
        <v>0</v>
      </c>
      <c r="T335" s="10"/>
      <c r="U335" s="10"/>
      <c r="V335" s="10"/>
      <c r="W335" s="10"/>
      <c r="X335" s="10"/>
      <c r="Z335" s="1"/>
      <c r="AB335" s="1"/>
      <c r="AF335" s="1"/>
      <c r="AJ335" s="1"/>
      <c r="AL335" s="1"/>
    </row>
    <row r="336" spans="1:38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1"/>
      <c r="M336" s="11"/>
      <c r="N336" s="12"/>
      <c r="O336" s="12"/>
      <c r="P336" s="10"/>
      <c r="Q336" s="10"/>
      <c r="R336" s="10"/>
      <c r="S336" s="13">
        <f>SUM(Table3[[#This Row],[Female ( age less than 17)]:[Male ( More than 18)2]])</f>
        <v>0</v>
      </c>
      <c r="T336" s="10"/>
      <c r="U336" s="10"/>
      <c r="V336" s="10"/>
      <c r="W336" s="10"/>
      <c r="X336" s="10"/>
      <c r="Z336" s="1"/>
      <c r="AB336" s="1"/>
      <c r="AF336" s="1"/>
      <c r="AJ336" s="1"/>
      <c r="AL336" s="1"/>
    </row>
    <row r="337" spans="1:38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1"/>
      <c r="M337" s="11"/>
      <c r="N337" s="12"/>
      <c r="O337" s="12"/>
      <c r="P337" s="10"/>
      <c r="Q337" s="10"/>
      <c r="R337" s="10"/>
      <c r="S337" s="13">
        <f>SUM(Table3[[#This Row],[Female ( age less than 17)]:[Male ( More than 18)2]])</f>
        <v>0</v>
      </c>
      <c r="T337" s="10"/>
      <c r="U337" s="10"/>
      <c r="V337" s="10"/>
      <c r="W337" s="10"/>
      <c r="X337" s="10"/>
      <c r="Z337" s="1"/>
      <c r="AB337" s="1"/>
      <c r="AF337" s="1"/>
      <c r="AJ337" s="1"/>
      <c r="AL337" s="1"/>
    </row>
    <row r="338" spans="1:38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1"/>
      <c r="M338" s="11"/>
      <c r="N338" s="12"/>
      <c r="O338" s="12"/>
      <c r="P338" s="10"/>
      <c r="Q338" s="10"/>
      <c r="R338" s="10"/>
      <c r="S338" s="13">
        <f>SUM(Table3[[#This Row],[Female ( age less than 17)]:[Male ( More than 18)2]])</f>
        <v>0</v>
      </c>
      <c r="T338" s="10"/>
      <c r="U338" s="10"/>
      <c r="V338" s="10"/>
      <c r="W338" s="10"/>
      <c r="X338" s="10"/>
      <c r="Z338" s="1"/>
      <c r="AB338" s="1"/>
      <c r="AF338" s="1"/>
      <c r="AJ338" s="1"/>
      <c r="AL338" s="1"/>
    </row>
    <row r="339" spans="1:38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1"/>
      <c r="M339" s="11"/>
      <c r="N339" s="12"/>
      <c r="O339" s="12"/>
      <c r="P339" s="10"/>
      <c r="Q339" s="10"/>
      <c r="R339" s="10"/>
      <c r="S339" s="13">
        <f>SUM(Table3[[#This Row],[Female ( age less than 17)]:[Male ( More than 18)2]])</f>
        <v>0</v>
      </c>
      <c r="T339" s="10"/>
      <c r="U339" s="10"/>
      <c r="V339" s="10"/>
      <c r="W339" s="10"/>
      <c r="X339" s="10"/>
      <c r="Z339" s="1"/>
      <c r="AB339" s="1"/>
      <c r="AF339" s="1"/>
      <c r="AJ339" s="1"/>
      <c r="AL339" s="1"/>
    </row>
    <row r="340" spans="1:38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1"/>
      <c r="M340" s="11"/>
      <c r="N340" s="12"/>
      <c r="O340" s="12"/>
      <c r="P340" s="10"/>
      <c r="Q340" s="10"/>
      <c r="R340" s="10"/>
      <c r="S340" s="13">
        <f>SUM(Table3[[#This Row],[Female ( age less than 17)]:[Male ( More than 18)2]])</f>
        <v>0</v>
      </c>
      <c r="T340" s="10"/>
      <c r="U340" s="10"/>
      <c r="V340" s="10"/>
      <c r="W340" s="10"/>
      <c r="X340" s="10"/>
      <c r="Z340" s="1"/>
      <c r="AB340" s="1"/>
      <c r="AF340" s="1"/>
      <c r="AJ340" s="1"/>
      <c r="AL340" s="1"/>
    </row>
    <row r="341" spans="1:38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1"/>
      <c r="M341" s="11"/>
      <c r="N341" s="12"/>
      <c r="O341" s="12"/>
      <c r="P341" s="10"/>
      <c r="Q341" s="10"/>
      <c r="R341" s="10"/>
      <c r="S341" s="13">
        <f>SUM(Table3[[#This Row],[Female ( age less than 17)]:[Male ( More than 18)2]])</f>
        <v>0</v>
      </c>
      <c r="T341" s="10"/>
      <c r="U341" s="10"/>
      <c r="V341" s="10"/>
      <c r="W341" s="10"/>
      <c r="X341" s="10"/>
      <c r="Z341" s="1"/>
      <c r="AB341" s="1"/>
      <c r="AF341" s="1"/>
      <c r="AJ341" s="1"/>
      <c r="AL341" s="1"/>
    </row>
    <row r="342" spans="1:38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1"/>
      <c r="M342" s="11"/>
      <c r="N342" s="12"/>
      <c r="O342" s="12"/>
      <c r="P342" s="10"/>
      <c r="Q342" s="10"/>
      <c r="R342" s="10"/>
      <c r="S342" s="13">
        <f>SUM(Table3[[#This Row],[Female ( age less than 17)]:[Male ( More than 18)2]])</f>
        <v>0</v>
      </c>
      <c r="T342" s="10"/>
      <c r="U342" s="10"/>
      <c r="V342" s="10"/>
      <c r="W342" s="10"/>
      <c r="X342" s="10"/>
      <c r="Z342" s="1"/>
      <c r="AB342" s="1"/>
      <c r="AF342" s="1"/>
      <c r="AJ342" s="1"/>
      <c r="AL342" s="1"/>
    </row>
    <row r="343" spans="1:38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1"/>
      <c r="M343" s="11"/>
      <c r="N343" s="12"/>
      <c r="O343" s="12"/>
      <c r="P343" s="10"/>
      <c r="Q343" s="10"/>
      <c r="R343" s="10"/>
      <c r="S343" s="13">
        <f>SUM(Table3[[#This Row],[Female ( age less than 17)]:[Male ( More than 18)2]])</f>
        <v>0</v>
      </c>
      <c r="T343" s="10"/>
      <c r="U343" s="10"/>
      <c r="V343" s="10"/>
      <c r="W343" s="10"/>
      <c r="X343" s="10"/>
      <c r="Z343" s="1"/>
      <c r="AB343" s="1"/>
      <c r="AF343" s="1"/>
      <c r="AJ343" s="1"/>
      <c r="AL343" s="1"/>
    </row>
    <row r="344" spans="1:38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1"/>
      <c r="M344" s="11"/>
      <c r="N344" s="12"/>
      <c r="O344" s="12"/>
      <c r="P344" s="10"/>
      <c r="Q344" s="10"/>
      <c r="R344" s="10"/>
      <c r="S344" s="13">
        <f>SUM(Table3[[#This Row],[Female ( age less than 17)]:[Male ( More than 18)2]])</f>
        <v>0</v>
      </c>
      <c r="T344" s="10"/>
      <c r="U344" s="10"/>
      <c r="V344" s="10"/>
      <c r="W344" s="10"/>
      <c r="X344" s="10"/>
      <c r="Z344" s="1"/>
      <c r="AB344" s="1"/>
      <c r="AF344" s="1"/>
      <c r="AJ344" s="1"/>
      <c r="AL344" s="1"/>
    </row>
    <row r="345" spans="1:38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1"/>
      <c r="M345" s="11"/>
      <c r="N345" s="12"/>
      <c r="O345" s="12"/>
      <c r="P345" s="10"/>
      <c r="Q345" s="10"/>
      <c r="R345" s="10"/>
      <c r="S345" s="13">
        <f>SUM(Table3[[#This Row],[Female ( age less than 17)]:[Male ( More than 18)2]])</f>
        <v>0</v>
      </c>
      <c r="T345" s="10"/>
      <c r="U345" s="10"/>
      <c r="V345" s="10"/>
      <c r="W345" s="10"/>
      <c r="X345" s="10"/>
      <c r="Z345" s="1"/>
      <c r="AB345" s="1"/>
      <c r="AF345" s="1"/>
      <c r="AJ345" s="1"/>
      <c r="AL345" s="1"/>
    </row>
    <row r="346" spans="1:38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1"/>
      <c r="M346" s="11"/>
      <c r="N346" s="12"/>
      <c r="O346" s="12"/>
      <c r="P346" s="10"/>
      <c r="Q346" s="10"/>
      <c r="R346" s="10"/>
      <c r="S346" s="13">
        <f>SUM(Table3[[#This Row],[Female ( age less than 17)]:[Male ( More than 18)2]])</f>
        <v>0</v>
      </c>
      <c r="T346" s="10"/>
      <c r="U346" s="10"/>
      <c r="V346" s="10"/>
      <c r="W346" s="10"/>
      <c r="X346" s="10"/>
      <c r="Z346" s="1"/>
      <c r="AB346" s="1"/>
      <c r="AF346" s="1"/>
      <c r="AJ346" s="1"/>
      <c r="AL346" s="1"/>
    </row>
    <row r="347" spans="1:38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1"/>
      <c r="M347" s="11"/>
      <c r="N347" s="12"/>
      <c r="O347" s="12"/>
      <c r="P347" s="10"/>
      <c r="Q347" s="10"/>
      <c r="R347" s="10"/>
      <c r="S347" s="13">
        <f>SUM(Table3[[#This Row],[Female ( age less than 17)]:[Male ( More than 18)2]])</f>
        <v>0</v>
      </c>
      <c r="T347" s="10"/>
      <c r="U347" s="10"/>
      <c r="V347" s="10"/>
      <c r="W347" s="10"/>
      <c r="X347" s="10"/>
      <c r="Z347" s="1"/>
      <c r="AB347" s="1"/>
      <c r="AF347" s="1"/>
      <c r="AJ347" s="1"/>
      <c r="AL347" s="1"/>
    </row>
    <row r="348" spans="1:38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1"/>
      <c r="M348" s="11"/>
      <c r="N348" s="12"/>
      <c r="O348" s="12"/>
      <c r="P348" s="10"/>
      <c r="Q348" s="10"/>
      <c r="R348" s="10"/>
      <c r="S348" s="13">
        <f>SUM(Table3[[#This Row],[Female ( age less than 17)]:[Male ( More than 18)2]])</f>
        <v>0</v>
      </c>
      <c r="T348" s="10"/>
      <c r="U348" s="10"/>
      <c r="V348" s="10"/>
      <c r="W348" s="10"/>
      <c r="X348" s="10"/>
      <c r="Z348" s="1"/>
      <c r="AB348" s="1"/>
      <c r="AF348" s="1"/>
      <c r="AJ348" s="1"/>
      <c r="AL348" s="1"/>
    </row>
    <row r="349" spans="1:38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1"/>
      <c r="M349" s="11"/>
      <c r="N349" s="12"/>
      <c r="O349" s="12"/>
      <c r="P349" s="10"/>
      <c r="Q349" s="10"/>
      <c r="R349" s="10"/>
      <c r="S349" s="13">
        <f>SUM(Table3[[#This Row],[Female ( age less than 17)]:[Male ( More than 18)2]])</f>
        <v>0</v>
      </c>
      <c r="T349" s="10"/>
      <c r="U349" s="10"/>
      <c r="V349" s="10"/>
      <c r="W349" s="10"/>
      <c r="X349" s="10"/>
      <c r="Z349" s="1"/>
      <c r="AB349" s="1"/>
      <c r="AF349" s="1"/>
      <c r="AJ349" s="1"/>
      <c r="AL349" s="1"/>
    </row>
    <row r="350" spans="1:38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1"/>
      <c r="M350" s="11"/>
      <c r="N350" s="12"/>
      <c r="O350" s="12"/>
      <c r="P350" s="10"/>
      <c r="Q350" s="10"/>
      <c r="R350" s="10"/>
      <c r="S350" s="13">
        <f>SUM(Table3[[#This Row],[Female ( age less than 17)]:[Male ( More than 18)2]])</f>
        <v>0</v>
      </c>
      <c r="T350" s="10"/>
      <c r="U350" s="10"/>
      <c r="V350" s="10"/>
      <c r="W350" s="10"/>
      <c r="X350" s="10"/>
      <c r="Z350" s="1"/>
      <c r="AB350" s="1"/>
      <c r="AF350" s="1"/>
      <c r="AJ350" s="1"/>
      <c r="AL350" s="1"/>
    </row>
    <row r="351" spans="1:38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1"/>
      <c r="M351" s="11"/>
      <c r="N351" s="12"/>
      <c r="O351" s="12"/>
      <c r="P351" s="10"/>
      <c r="Q351" s="10"/>
      <c r="R351" s="10"/>
      <c r="S351" s="13">
        <f>SUM(Table3[[#This Row],[Female ( age less than 17)]:[Male ( More than 18)2]])</f>
        <v>0</v>
      </c>
      <c r="T351" s="10"/>
      <c r="U351" s="10"/>
      <c r="V351" s="10"/>
      <c r="W351" s="10"/>
      <c r="X351" s="10"/>
      <c r="Z351" s="1"/>
      <c r="AB351" s="1"/>
      <c r="AF351" s="1"/>
      <c r="AJ351" s="1"/>
      <c r="AL351" s="1"/>
    </row>
    <row r="352" spans="1:38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1"/>
      <c r="M352" s="11"/>
      <c r="N352" s="12"/>
      <c r="O352" s="12"/>
      <c r="P352" s="10"/>
      <c r="Q352" s="10"/>
      <c r="R352" s="10"/>
      <c r="S352" s="13">
        <f>SUM(Table3[[#This Row],[Female ( age less than 17)]:[Male ( More than 18)2]])</f>
        <v>0</v>
      </c>
      <c r="T352" s="10"/>
      <c r="U352" s="10"/>
      <c r="V352" s="10"/>
      <c r="W352" s="10"/>
      <c r="X352" s="10"/>
      <c r="Z352" s="1"/>
      <c r="AB352" s="1"/>
      <c r="AF352" s="1"/>
      <c r="AJ352" s="1"/>
      <c r="AL352" s="1"/>
    </row>
    <row r="353" spans="1:38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1"/>
      <c r="M353" s="11"/>
      <c r="N353" s="12"/>
      <c r="O353" s="12"/>
      <c r="P353" s="10"/>
      <c r="Q353" s="10"/>
      <c r="R353" s="10"/>
      <c r="S353" s="13">
        <f>SUM(Table3[[#This Row],[Female ( age less than 17)]:[Male ( More than 18)2]])</f>
        <v>0</v>
      </c>
      <c r="T353" s="10"/>
      <c r="U353" s="10"/>
      <c r="V353" s="10"/>
      <c r="W353" s="10"/>
      <c r="X353" s="10"/>
      <c r="Z353" s="1"/>
      <c r="AB353" s="1"/>
      <c r="AF353" s="1"/>
      <c r="AJ353" s="1"/>
      <c r="AL353" s="1"/>
    </row>
    <row r="354" spans="1:38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1"/>
      <c r="M354" s="11"/>
      <c r="N354" s="12"/>
      <c r="O354" s="12"/>
      <c r="P354" s="10"/>
      <c r="Q354" s="10"/>
      <c r="R354" s="10"/>
      <c r="S354" s="13">
        <f>SUM(Table3[[#This Row],[Female ( age less than 17)]:[Male ( More than 18)2]])</f>
        <v>0</v>
      </c>
      <c r="T354" s="10"/>
      <c r="U354" s="10"/>
      <c r="V354" s="10"/>
      <c r="W354" s="10"/>
      <c r="X354" s="10"/>
      <c r="Z354" s="1"/>
      <c r="AB354" s="1"/>
      <c r="AF354" s="1"/>
      <c r="AJ354" s="1"/>
      <c r="AL354" s="1"/>
    </row>
    <row r="355" spans="1:38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1"/>
      <c r="M355" s="11"/>
      <c r="N355" s="12"/>
      <c r="O355" s="12"/>
      <c r="P355" s="10"/>
      <c r="Q355" s="10"/>
      <c r="R355" s="10"/>
      <c r="S355" s="13">
        <f>SUM(Table3[[#This Row],[Female ( age less than 17)]:[Male ( More than 18)2]])</f>
        <v>0</v>
      </c>
      <c r="T355" s="10"/>
      <c r="U355" s="10"/>
      <c r="V355" s="10"/>
      <c r="W355" s="10"/>
      <c r="X355" s="10"/>
      <c r="Z355" s="1"/>
      <c r="AB355" s="1"/>
      <c r="AF355" s="1"/>
      <c r="AJ355" s="1"/>
      <c r="AL355" s="1"/>
    </row>
    <row r="356" spans="1:38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1"/>
      <c r="M356" s="11"/>
      <c r="N356" s="12"/>
      <c r="O356" s="12"/>
      <c r="P356" s="10"/>
      <c r="Q356" s="10"/>
      <c r="R356" s="10"/>
      <c r="S356" s="13">
        <f>SUM(Table3[[#This Row],[Female ( age less than 17)]:[Male ( More than 18)2]])</f>
        <v>0</v>
      </c>
      <c r="T356" s="10"/>
      <c r="U356" s="10"/>
      <c r="V356" s="10"/>
      <c r="W356" s="10"/>
      <c r="X356" s="10"/>
      <c r="Z356" s="1"/>
      <c r="AB356" s="1"/>
      <c r="AF356" s="1"/>
      <c r="AJ356" s="1"/>
      <c r="AL356" s="1"/>
    </row>
    <row r="357" spans="1:38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1"/>
      <c r="M357" s="11"/>
      <c r="N357" s="12"/>
      <c r="O357" s="12"/>
      <c r="P357" s="10"/>
      <c r="Q357" s="10"/>
      <c r="R357" s="10"/>
      <c r="S357" s="13">
        <f>SUM(Table3[[#This Row],[Female ( age less than 17)]:[Male ( More than 18)2]])</f>
        <v>0</v>
      </c>
      <c r="T357" s="10"/>
      <c r="U357" s="10"/>
      <c r="V357" s="10"/>
      <c r="W357" s="10"/>
      <c r="X357" s="10"/>
      <c r="Z357" s="1"/>
      <c r="AB357" s="1"/>
      <c r="AF357" s="1"/>
      <c r="AJ357" s="1"/>
      <c r="AL357" s="1"/>
    </row>
    <row r="358" spans="1:38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1"/>
      <c r="M358" s="11"/>
      <c r="N358" s="12"/>
      <c r="O358" s="12"/>
      <c r="P358" s="10"/>
      <c r="Q358" s="10"/>
      <c r="R358" s="10"/>
      <c r="S358" s="13">
        <f>SUM(Table3[[#This Row],[Female ( age less than 17)]:[Male ( More than 18)2]])</f>
        <v>0</v>
      </c>
      <c r="T358" s="10"/>
      <c r="U358" s="10"/>
      <c r="V358" s="10"/>
      <c r="W358" s="10"/>
      <c r="X358" s="10"/>
      <c r="Z358" s="1"/>
      <c r="AB358" s="1"/>
      <c r="AF358" s="1"/>
      <c r="AJ358" s="1"/>
      <c r="AL358" s="1"/>
    </row>
    <row r="359" spans="1:38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1"/>
      <c r="M359" s="11"/>
      <c r="N359" s="12"/>
      <c r="O359" s="12"/>
      <c r="P359" s="10"/>
      <c r="Q359" s="10"/>
      <c r="R359" s="10"/>
      <c r="S359" s="13">
        <f>SUM(Table3[[#This Row],[Female ( age less than 17)]:[Male ( More than 18)2]])</f>
        <v>0</v>
      </c>
      <c r="T359" s="10"/>
      <c r="U359" s="10"/>
      <c r="V359" s="10"/>
      <c r="W359" s="10"/>
      <c r="X359" s="10"/>
      <c r="Z359" s="1"/>
      <c r="AB359" s="1"/>
      <c r="AF359" s="1"/>
      <c r="AJ359" s="1"/>
      <c r="AL359" s="1"/>
    </row>
    <row r="360" spans="1:38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1"/>
      <c r="M360" s="11"/>
      <c r="N360" s="12"/>
      <c r="O360" s="12"/>
      <c r="P360" s="10"/>
      <c r="Q360" s="10"/>
      <c r="R360" s="10"/>
      <c r="S360" s="13">
        <f>SUM(Table3[[#This Row],[Female ( age less than 17)]:[Male ( More than 18)2]])</f>
        <v>0</v>
      </c>
      <c r="T360" s="10"/>
      <c r="U360" s="10"/>
      <c r="V360" s="10"/>
      <c r="W360" s="10"/>
      <c r="X360" s="10"/>
      <c r="Z360" s="1"/>
      <c r="AB360" s="1"/>
      <c r="AF360" s="1"/>
      <c r="AJ360" s="1"/>
      <c r="AL360" s="1"/>
    </row>
    <row r="361" spans="1:38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1"/>
      <c r="M361" s="11"/>
      <c r="N361" s="12"/>
      <c r="O361" s="12"/>
      <c r="P361" s="10"/>
      <c r="Q361" s="10"/>
      <c r="R361" s="10"/>
      <c r="S361" s="13">
        <f>SUM(Table3[[#This Row],[Female ( age less than 17)]:[Male ( More than 18)2]])</f>
        <v>0</v>
      </c>
      <c r="T361" s="10"/>
      <c r="U361" s="10"/>
      <c r="V361" s="10"/>
      <c r="W361" s="10"/>
      <c r="X361" s="10"/>
      <c r="Z361" s="1"/>
      <c r="AB361" s="1"/>
      <c r="AF361" s="1"/>
      <c r="AJ361" s="1"/>
      <c r="AL361" s="1"/>
    </row>
    <row r="362" spans="1:38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1"/>
      <c r="M362" s="11"/>
      <c r="N362" s="12"/>
      <c r="O362" s="12"/>
      <c r="P362" s="10"/>
      <c r="Q362" s="10"/>
      <c r="R362" s="10"/>
      <c r="S362" s="13">
        <f>SUM(Table3[[#This Row],[Female ( age less than 17)]:[Male ( More than 18)2]])</f>
        <v>0</v>
      </c>
      <c r="T362" s="10"/>
      <c r="U362" s="10"/>
      <c r="V362" s="10"/>
      <c r="W362" s="10"/>
      <c r="X362" s="10"/>
      <c r="Z362" s="1"/>
      <c r="AB362" s="1"/>
      <c r="AF362" s="1"/>
      <c r="AJ362" s="1"/>
      <c r="AL362" s="1"/>
    </row>
    <row r="363" spans="1:38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1"/>
      <c r="M363" s="11"/>
      <c r="N363" s="12"/>
      <c r="O363" s="12"/>
      <c r="P363" s="10"/>
      <c r="Q363" s="10"/>
      <c r="R363" s="10"/>
      <c r="S363" s="13">
        <f>SUM(Table3[[#This Row],[Female ( age less than 17)]:[Male ( More than 18)2]])</f>
        <v>0</v>
      </c>
      <c r="T363" s="10"/>
      <c r="U363" s="10"/>
      <c r="V363" s="10"/>
      <c r="W363" s="10"/>
      <c r="X363" s="10"/>
      <c r="Z363" s="1"/>
      <c r="AB363" s="1"/>
      <c r="AF363" s="1"/>
      <c r="AJ363" s="1"/>
      <c r="AL363" s="1"/>
    </row>
    <row r="364" spans="1:38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1"/>
      <c r="M364" s="11"/>
      <c r="N364" s="12"/>
      <c r="O364" s="12"/>
      <c r="P364" s="10"/>
      <c r="Q364" s="10"/>
      <c r="R364" s="10"/>
      <c r="S364" s="13">
        <f>SUM(Table3[[#This Row],[Female ( age less than 17)]:[Male ( More than 18)2]])</f>
        <v>0</v>
      </c>
      <c r="T364" s="10"/>
      <c r="U364" s="10"/>
      <c r="V364" s="10"/>
      <c r="W364" s="10"/>
      <c r="X364" s="10"/>
      <c r="Z364" s="1"/>
      <c r="AB364" s="1"/>
      <c r="AF364" s="1"/>
      <c r="AJ364" s="1"/>
      <c r="AL364" s="1"/>
    </row>
    <row r="365" spans="1:38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1"/>
      <c r="M365" s="11"/>
      <c r="N365" s="12"/>
      <c r="O365" s="12"/>
      <c r="P365" s="10"/>
      <c r="Q365" s="10"/>
      <c r="R365" s="10"/>
      <c r="S365" s="13">
        <f>SUM(Table3[[#This Row],[Female ( age less than 17)]:[Male ( More than 18)2]])</f>
        <v>0</v>
      </c>
      <c r="T365" s="10"/>
      <c r="U365" s="10"/>
      <c r="V365" s="10"/>
      <c r="W365" s="10"/>
      <c r="X365" s="10"/>
      <c r="Z365" s="1"/>
      <c r="AB365" s="1"/>
      <c r="AF365" s="1"/>
      <c r="AJ365" s="1"/>
      <c r="AL365" s="1"/>
    </row>
    <row r="366" spans="1:38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1"/>
      <c r="M366" s="11"/>
      <c r="N366" s="12"/>
      <c r="O366" s="12"/>
      <c r="P366" s="10"/>
      <c r="Q366" s="10"/>
      <c r="R366" s="10"/>
      <c r="S366" s="13">
        <f>SUM(Table3[[#This Row],[Female ( age less than 17)]:[Male ( More than 18)2]])</f>
        <v>0</v>
      </c>
      <c r="T366" s="10"/>
      <c r="U366" s="10"/>
      <c r="V366" s="10"/>
      <c r="W366" s="10"/>
      <c r="X366" s="10"/>
      <c r="Z366" s="1"/>
      <c r="AB366" s="1"/>
      <c r="AF366" s="1"/>
      <c r="AJ366" s="1"/>
      <c r="AL366" s="1"/>
    </row>
    <row r="367" spans="1:38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1"/>
      <c r="M367" s="11"/>
      <c r="N367" s="12"/>
      <c r="O367" s="12"/>
      <c r="P367" s="10"/>
      <c r="Q367" s="10"/>
      <c r="R367" s="10"/>
      <c r="S367" s="13">
        <f>SUM(Table3[[#This Row],[Female ( age less than 17)]:[Male ( More than 18)2]])</f>
        <v>0</v>
      </c>
      <c r="T367" s="10"/>
      <c r="U367" s="10"/>
      <c r="V367" s="10"/>
      <c r="W367" s="10"/>
      <c r="X367" s="10"/>
      <c r="Z367" s="1"/>
      <c r="AB367" s="1"/>
      <c r="AF367" s="1"/>
      <c r="AJ367" s="1"/>
      <c r="AL367" s="1"/>
    </row>
    <row r="368" spans="1:38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1"/>
      <c r="M368" s="11"/>
      <c r="N368" s="12"/>
      <c r="O368" s="12"/>
      <c r="P368" s="10"/>
      <c r="Q368" s="10"/>
      <c r="R368" s="10"/>
      <c r="S368" s="13">
        <f>SUM(Table3[[#This Row],[Female ( age less than 17)]:[Male ( More than 18)2]])</f>
        <v>0</v>
      </c>
      <c r="T368" s="10"/>
      <c r="U368" s="10"/>
      <c r="V368" s="10"/>
      <c r="W368" s="10"/>
      <c r="X368" s="10"/>
      <c r="Z368" s="1"/>
      <c r="AB368" s="1"/>
      <c r="AF368" s="1"/>
      <c r="AJ368" s="1"/>
      <c r="AL368" s="1"/>
    </row>
    <row r="369" spans="1:38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1"/>
      <c r="M369" s="11"/>
      <c r="N369" s="12"/>
      <c r="O369" s="12"/>
      <c r="P369" s="10"/>
      <c r="Q369" s="10"/>
      <c r="R369" s="10"/>
      <c r="S369" s="13">
        <f>SUM(Table3[[#This Row],[Female ( age less than 17)]:[Male ( More than 18)2]])</f>
        <v>0</v>
      </c>
      <c r="T369" s="10"/>
      <c r="U369" s="10"/>
      <c r="V369" s="10"/>
      <c r="W369" s="10"/>
      <c r="X369" s="10"/>
      <c r="Z369" s="1"/>
      <c r="AB369" s="1"/>
      <c r="AF369" s="1"/>
      <c r="AJ369" s="1"/>
      <c r="AL369" s="1"/>
    </row>
    <row r="370" spans="1:38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1"/>
      <c r="M370" s="11"/>
      <c r="N370" s="12"/>
      <c r="O370" s="12"/>
      <c r="P370" s="10"/>
      <c r="Q370" s="10"/>
      <c r="R370" s="10"/>
      <c r="S370" s="13">
        <f>SUM(Table3[[#This Row],[Female ( age less than 17)]:[Male ( More than 18)2]])</f>
        <v>0</v>
      </c>
      <c r="T370" s="10"/>
      <c r="U370" s="10"/>
      <c r="V370" s="10"/>
      <c r="W370" s="10"/>
      <c r="X370" s="10"/>
      <c r="Z370" s="1"/>
      <c r="AB370" s="1"/>
      <c r="AF370" s="1"/>
      <c r="AJ370" s="1"/>
      <c r="AL370" s="1"/>
    </row>
    <row r="371" spans="1:38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1"/>
      <c r="M371" s="11"/>
      <c r="N371" s="12"/>
      <c r="O371" s="12"/>
      <c r="P371" s="10"/>
      <c r="Q371" s="10"/>
      <c r="R371" s="10"/>
      <c r="S371" s="13">
        <f>SUM(Table3[[#This Row],[Female ( age less than 17)]:[Male ( More than 18)2]])</f>
        <v>0</v>
      </c>
      <c r="T371" s="10"/>
      <c r="U371" s="10"/>
      <c r="V371" s="10"/>
      <c r="W371" s="10"/>
      <c r="X371" s="10"/>
      <c r="Z371" s="1"/>
      <c r="AB371" s="1"/>
      <c r="AF371" s="1"/>
      <c r="AJ371" s="1"/>
      <c r="AL371" s="1"/>
    </row>
    <row r="372" spans="1:38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1"/>
      <c r="M372" s="11"/>
      <c r="N372" s="12"/>
      <c r="O372" s="12"/>
      <c r="P372" s="10"/>
      <c r="Q372" s="10"/>
      <c r="R372" s="10"/>
      <c r="S372" s="13">
        <f>SUM(Table3[[#This Row],[Female ( age less than 17)]:[Male ( More than 18)2]])</f>
        <v>0</v>
      </c>
      <c r="T372" s="10"/>
      <c r="U372" s="10"/>
      <c r="V372" s="10"/>
      <c r="W372" s="10"/>
      <c r="X372" s="10"/>
      <c r="Z372" s="1"/>
      <c r="AB372" s="1"/>
      <c r="AF372" s="1"/>
      <c r="AJ372" s="1"/>
      <c r="AL372" s="1"/>
    </row>
    <row r="373" spans="1:38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1"/>
      <c r="M373" s="11"/>
      <c r="N373" s="12"/>
      <c r="O373" s="12"/>
      <c r="P373" s="10"/>
      <c r="Q373" s="10"/>
      <c r="R373" s="10"/>
      <c r="S373" s="13">
        <f>SUM(Table3[[#This Row],[Female ( age less than 17)]:[Male ( More than 18)2]])</f>
        <v>0</v>
      </c>
      <c r="T373" s="10"/>
      <c r="U373" s="10"/>
      <c r="V373" s="10"/>
      <c r="W373" s="10"/>
      <c r="X373" s="10"/>
      <c r="Z373" s="1"/>
      <c r="AB373" s="1"/>
      <c r="AF373" s="1"/>
      <c r="AJ373" s="1"/>
      <c r="AL373" s="1"/>
    </row>
    <row r="374" spans="1:38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1"/>
      <c r="M374" s="11"/>
      <c r="N374" s="12"/>
      <c r="O374" s="12"/>
      <c r="P374" s="10"/>
      <c r="Q374" s="10"/>
      <c r="R374" s="10"/>
      <c r="S374" s="13">
        <f>SUM(Table3[[#This Row],[Female ( age less than 17)]:[Male ( More than 18)2]])</f>
        <v>0</v>
      </c>
      <c r="T374" s="10"/>
      <c r="U374" s="10"/>
      <c r="V374" s="10"/>
      <c r="W374" s="10"/>
      <c r="X374" s="10"/>
      <c r="Z374" s="1"/>
      <c r="AB374" s="1"/>
      <c r="AF374" s="1"/>
      <c r="AJ374" s="1"/>
      <c r="AL374" s="1"/>
    </row>
    <row r="375" spans="1:38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1"/>
      <c r="M375" s="11"/>
      <c r="N375" s="12"/>
      <c r="O375" s="12"/>
      <c r="P375" s="10"/>
      <c r="Q375" s="10"/>
      <c r="R375" s="10"/>
      <c r="S375" s="13">
        <f>SUM(Table3[[#This Row],[Female ( age less than 17)]:[Male ( More than 18)2]])</f>
        <v>0</v>
      </c>
      <c r="T375" s="10"/>
      <c r="U375" s="10"/>
      <c r="V375" s="10"/>
      <c r="W375" s="10"/>
      <c r="X375" s="10"/>
      <c r="Z375" s="1"/>
      <c r="AB375" s="1"/>
      <c r="AF375" s="1"/>
      <c r="AJ375" s="1"/>
      <c r="AL375" s="1"/>
    </row>
    <row r="376" spans="1:38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1"/>
      <c r="M376" s="11"/>
      <c r="N376" s="12"/>
      <c r="O376" s="12"/>
      <c r="P376" s="10"/>
      <c r="Q376" s="10"/>
      <c r="R376" s="10"/>
      <c r="S376" s="13">
        <f>SUM(Table3[[#This Row],[Female ( age less than 17)]:[Male ( More than 18)2]])</f>
        <v>0</v>
      </c>
      <c r="T376" s="10"/>
      <c r="U376" s="10"/>
      <c r="V376" s="10"/>
      <c r="W376" s="10"/>
      <c r="X376" s="10"/>
      <c r="Z376" s="1"/>
      <c r="AB376" s="1"/>
      <c r="AF376" s="1"/>
      <c r="AJ376" s="1"/>
      <c r="AL376" s="1"/>
    </row>
    <row r="377" spans="1:38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1"/>
      <c r="M377" s="11"/>
      <c r="N377" s="12"/>
      <c r="O377" s="12"/>
      <c r="P377" s="10"/>
      <c r="Q377" s="10"/>
      <c r="R377" s="10"/>
      <c r="S377" s="13">
        <f>SUM(Table3[[#This Row],[Female ( age less than 17)]:[Male ( More than 18)2]])</f>
        <v>0</v>
      </c>
      <c r="T377" s="10"/>
      <c r="U377" s="10"/>
      <c r="V377" s="10"/>
      <c r="W377" s="10"/>
      <c r="X377" s="10"/>
      <c r="Z377" s="1"/>
      <c r="AB377" s="1"/>
      <c r="AF377" s="1"/>
      <c r="AJ377" s="1"/>
      <c r="AL377" s="1"/>
    </row>
    <row r="378" spans="1:38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1"/>
      <c r="M378" s="11"/>
      <c r="N378" s="12"/>
      <c r="O378" s="12"/>
      <c r="P378" s="10"/>
      <c r="Q378" s="10"/>
      <c r="R378" s="10"/>
      <c r="S378" s="13">
        <f>SUM(Table3[[#This Row],[Female ( age less than 17)]:[Male ( More than 18)2]])</f>
        <v>0</v>
      </c>
      <c r="T378" s="10"/>
      <c r="U378" s="10"/>
      <c r="V378" s="10"/>
      <c r="W378" s="10"/>
      <c r="X378" s="10"/>
      <c r="Z378" s="1"/>
      <c r="AB378" s="1"/>
      <c r="AF378" s="1"/>
      <c r="AJ378" s="1"/>
      <c r="AL378" s="1"/>
    </row>
    <row r="379" spans="1:38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1"/>
      <c r="M379" s="11"/>
      <c r="N379" s="12"/>
      <c r="O379" s="12"/>
      <c r="P379" s="10"/>
      <c r="Q379" s="10"/>
      <c r="R379" s="10"/>
      <c r="S379" s="13">
        <f>SUM(Table3[[#This Row],[Female ( age less than 17)]:[Male ( More than 18)2]])</f>
        <v>0</v>
      </c>
      <c r="T379" s="10"/>
      <c r="U379" s="10"/>
      <c r="V379" s="10"/>
      <c r="W379" s="10"/>
      <c r="X379" s="10"/>
      <c r="Z379" s="1"/>
      <c r="AB379" s="1"/>
      <c r="AF379" s="1"/>
      <c r="AJ379" s="1"/>
      <c r="AL379" s="1"/>
    </row>
    <row r="380" spans="1:38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1"/>
      <c r="M380" s="11"/>
      <c r="N380" s="12"/>
      <c r="O380" s="12"/>
      <c r="P380" s="10"/>
      <c r="Q380" s="10"/>
      <c r="R380" s="10"/>
      <c r="S380" s="13">
        <f>SUM(Table3[[#This Row],[Female ( age less than 17)]:[Male ( More than 18)2]])</f>
        <v>0</v>
      </c>
      <c r="T380" s="10"/>
      <c r="U380" s="10"/>
      <c r="V380" s="10"/>
      <c r="W380" s="10"/>
      <c r="X380" s="10"/>
      <c r="Z380" s="1"/>
      <c r="AB380" s="1"/>
      <c r="AF380" s="1"/>
      <c r="AJ380" s="1"/>
      <c r="AL380" s="1"/>
    </row>
    <row r="381" spans="1:38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1"/>
      <c r="M381" s="11"/>
      <c r="N381" s="12"/>
      <c r="O381" s="12"/>
      <c r="P381" s="10"/>
      <c r="Q381" s="10"/>
      <c r="R381" s="10"/>
      <c r="S381" s="13">
        <f>SUM(Table3[[#This Row],[Female ( age less than 17)]:[Male ( More than 18)2]])</f>
        <v>0</v>
      </c>
      <c r="T381" s="10"/>
      <c r="U381" s="10"/>
      <c r="V381" s="10"/>
      <c r="W381" s="10"/>
      <c r="X381" s="10"/>
      <c r="Z381" s="1"/>
      <c r="AB381" s="1"/>
      <c r="AF381" s="1"/>
      <c r="AJ381" s="1"/>
      <c r="AL381" s="1"/>
    </row>
    <row r="382" spans="1:38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1"/>
      <c r="M382" s="11"/>
      <c r="N382" s="12"/>
      <c r="O382" s="12"/>
      <c r="P382" s="10"/>
      <c r="Q382" s="10"/>
      <c r="R382" s="10"/>
      <c r="S382" s="13">
        <f>SUM(Table3[[#This Row],[Female ( age less than 17)]:[Male ( More than 18)2]])</f>
        <v>0</v>
      </c>
      <c r="T382" s="10"/>
      <c r="U382" s="10"/>
      <c r="V382" s="10"/>
      <c r="W382" s="10"/>
      <c r="X382" s="10"/>
      <c r="Z382" s="1"/>
      <c r="AB382" s="1"/>
      <c r="AF382" s="1"/>
      <c r="AJ382" s="1"/>
      <c r="AL382" s="1"/>
    </row>
    <row r="383" spans="1:38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1"/>
      <c r="M383" s="11"/>
      <c r="N383" s="12"/>
      <c r="O383" s="12"/>
      <c r="P383" s="10"/>
      <c r="Q383" s="10"/>
      <c r="R383" s="10"/>
      <c r="S383" s="13">
        <f>SUM(Table3[[#This Row],[Female ( age less than 17)]:[Male ( More than 18)2]])</f>
        <v>0</v>
      </c>
      <c r="T383" s="10"/>
      <c r="U383" s="10"/>
      <c r="V383" s="10"/>
      <c r="W383" s="10"/>
      <c r="X383" s="10"/>
      <c r="Z383" s="1"/>
      <c r="AB383" s="1"/>
      <c r="AF383" s="1"/>
      <c r="AJ383" s="1"/>
      <c r="AL383" s="1"/>
    </row>
    <row r="384" spans="1:38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1"/>
      <c r="M384" s="11"/>
      <c r="N384" s="12"/>
      <c r="O384" s="12"/>
      <c r="P384" s="10"/>
      <c r="Q384" s="10"/>
      <c r="R384" s="10"/>
      <c r="S384" s="13">
        <f>SUM(Table3[[#This Row],[Female ( age less than 17)]:[Male ( More than 18)2]])</f>
        <v>0</v>
      </c>
      <c r="T384" s="10"/>
      <c r="U384" s="10"/>
      <c r="V384" s="10"/>
      <c r="W384" s="10"/>
      <c r="X384" s="10"/>
      <c r="Z384" s="1"/>
      <c r="AB384" s="1"/>
      <c r="AF384" s="1"/>
      <c r="AJ384" s="1"/>
      <c r="AL384" s="1"/>
    </row>
    <row r="385" spans="1:38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1"/>
      <c r="M385" s="11"/>
      <c r="N385" s="12"/>
      <c r="O385" s="12"/>
      <c r="P385" s="10"/>
      <c r="Q385" s="10"/>
      <c r="R385" s="10"/>
      <c r="S385" s="13">
        <f>SUM(Table3[[#This Row],[Female ( age less than 17)]:[Male ( More than 18)2]])</f>
        <v>0</v>
      </c>
      <c r="T385" s="10"/>
      <c r="U385" s="10"/>
      <c r="V385" s="10"/>
      <c r="W385" s="10"/>
      <c r="X385" s="10"/>
      <c r="Z385" s="1"/>
      <c r="AB385" s="1"/>
      <c r="AF385" s="1"/>
      <c r="AJ385" s="1"/>
      <c r="AL385" s="1"/>
    </row>
    <row r="386" spans="1:38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1"/>
      <c r="M386" s="11"/>
      <c r="N386" s="12"/>
      <c r="O386" s="12"/>
      <c r="P386" s="10"/>
      <c r="Q386" s="10"/>
      <c r="R386" s="10"/>
      <c r="S386" s="13">
        <f>SUM(Table3[[#This Row],[Female ( age less than 17)]:[Male ( More than 18)2]])</f>
        <v>0</v>
      </c>
      <c r="T386" s="10"/>
      <c r="U386" s="10"/>
      <c r="V386" s="10"/>
      <c r="W386" s="10"/>
      <c r="X386" s="10"/>
      <c r="Z386" s="1"/>
      <c r="AB386" s="1"/>
      <c r="AF386" s="1"/>
      <c r="AJ386" s="1"/>
      <c r="AL386" s="1"/>
    </row>
    <row r="387" spans="1:38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1"/>
      <c r="M387" s="11"/>
      <c r="N387" s="12"/>
      <c r="O387" s="12"/>
      <c r="P387" s="10"/>
      <c r="Q387" s="10"/>
      <c r="R387" s="10"/>
      <c r="S387" s="13">
        <f>SUM(Table3[[#This Row],[Female ( age less than 17)]:[Male ( More than 18)2]])</f>
        <v>0</v>
      </c>
      <c r="T387" s="10"/>
      <c r="U387" s="10"/>
      <c r="V387" s="10"/>
      <c r="W387" s="10"/>
      <c r="X387" s="10"/>
      <c r="Z387" s="1"/>
      <c r="AB387" s="1"/>
      <c r="AF387" s="1"/>
      <c r="AJ387" s="1"/>
      <c r="AL387" s="1"/>
    </row>
    <row r="388" spans="1:38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1"/>
      <c r="N388" s="12"/>
      <c r="O388" s="12"/>
      <c r="P388" s="10"/>
      <c r="Q388" s="10"/>
      <c r="R388" s="10"/>
      <c r="S388" s="13">
        <f>SUM(Table3[[#This Row],[Female ( age less than 17)]:[Male ( More than 18)2]])</f>
        <v>0</v>
      </c>
      <c r="T388" s="10"/>
      <c r="U388" s="10"/>
      <c r="V388" s="10"/>
      <c r="W388" s="10"/>
      <c r="X388" s="10"/>
      <c r="Z388" s="1"/>
      <c r="AB388" s="1"/>
      <c r="AF388" s="1"/>
      <c r="AJ388" s="1"/>
      <c r="AL388" s="1"/>
    </row>
    <row r="389" spans="1:38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1"/>
      <c r="M389" s="11"/>
      <c r="N389" s="12"/>
      <c r="O389" s="12"/>
      <c r="P389" s="10"/>
      <c r="Q389" s="10"/>
      <c r="R389" s="10"/>
      <c r="S389" s="13">
        <f>SUM(Table3[[#This Row],[Female ( age less than 17)]:[Male ( More than 18)2]])</f>
        <v>0</v>
      </c>
      <c r="T389" s="10"/>
      <c r="U389" s="10"/>
      <c r="V389" s="10"/>
      <c r="W389" s="10"/>
      <c r="X389" s="10"/>
      <c r="Z389" s="1"/>
      <c r="AB389" s="1"/>
      <c r="AF389" s="1"/>
      <c r="AJ389" s="1"/>
      <c r="AL389" s="1"/>
    </row>
    <row r="390" spans="1:38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1"/>
      <c r="M390" s="11"/>
      <c r="N390" s="12"/>
      <c r="O390" s="12"/>
      <c r="P390" s="10"/>
      <c r="Q390" s="10"/>
      <c r="R390" s="10"/>
      <c r="S390" s="13">
        <f>SUM(Table3[[#This Row],[Female ( age less than 17)]:[Male ( More than 18)2]])</f>
        <v>0</v>
      </c>
      <c r="T390" s="10"/>
      <c r="U390" s="10"/>
      <c r="V390" s="10"/>
      <c r="W390" s="10"/>
      <c r="X390" s="10"/>
      <c r="Z390" s="1"/>
      <c r="AB390" s="1"/>
      <c r="AF390" s="1"/>
      <c r="AJ390" s="1"/>
      <c r="AL390" s="1"/>
    </row>
    <row r="391" spans="1:38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1"/>
      <c r="M391" s="11"/>
      <c r="N391" s="12"/>
      <c r="O391" s="12"/>
      <c r="P391" s="10"/>
      <c r="Q391" s="10"/>
      <c r="R391" s="10"/>
      <c r="S391" s="13">
        <f>SUM(Table3[[#This Row],[Female ( age less than 17)]:[Male ( More than 18)2]])</f>
        <v>0</v>
      </c>
      <c r="T391" s="10"/>
      <c r="U391" s="10"/>
      <c r="V391" s="10"/>
      <c r="W391" s="10"/>
      <c r="X391" s="10"/>
      <c r="Z391" s="1"/>
      <c r="AB391" s="1"/>
      <c r="AF391" s="1"/>
      <c r="AJ391" s="1"/>
      <c r="AL391" s="1"/>
    </row>
    <row r="392" spans="1:38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1"/>
      <c r="M392" s="11"/>
      <c r="N392" s="12"/>
      <c r="O392" s="12"/>
      <c r="P392" s="10"/>
      <c r="Q392" s="10"/>
      <c r="R392" s="10"/>
      <c r="S392" s="13">
        <f>SUM(Table3[[#This Row],[Female ( age less than 17)]:[Male ( More than 18)2]])</f>
        <v>0</v>
      </c>
      <c r="T392" s="10"/>
      <c r="U392" s="10"/>
      <c r="V392" s="10"/>
      <c r="W392" s="10"/>
      <c r="X392" s="10"/>
      <c r="Z392" s="1"/>
      <c r="AB392" s="1"/>
      <c r="AF392" s="1"/>
      <c r="AJ392" s="1"/>
      <c r="AL392" s="1"/>
    </row>
    <row r="393" spans="1:38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1"/>
      <c r="M393" s="11"/>
      <c r="N393" s="12"/>
      <c r="O393" s="12"/>
      <c r="P393" s="10"/>
      <c r="Q393" s="10"/>
      <c r="R393" s="10"/>
      <c r="S393" s="13">
        <f>SUM(Table3[[#This Row],[Female ( age less than 17)]:[Male ( More than 18)2]])</f>
        <v>0</v>
      </c>
      <c r="T393" s="10"/>
      <c r="U393" s="10"/>
      <c r="V393" s="10"/>
      <c r="W393" s="10"/>
      <c r="X393" s="10"/>
      <c r="Z393" s="1"/>
      <c r="AB393" s="1"/>
      <c r="AF393" s="1"/>
      <c r="AJ393" s="1"/>
      <c r="AL393" s="1"/>
    </row>
    <row r="394" spans="1:38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1"/>
      <c r="M394" s="11"/>
      <c r="N394" s="12"/>
      <c r="O394" s="12"/>
      <c r="P394" s="10"/>
      <c r="Q394" s="10"/>
      <c r="R394" s="10"/>
      <c r="S394" s="13">
        <f>SUM(Table3[[#This Row],[Female ( age less than 17)]:[Male ( More than 18)2]])</f>
        <v>0</v>
      </c>
      <c r="T394" s="10"/>
      <c r="U394" s="10"/>
      <c r="V394" s="10"/>
      <c r="W394" s="10"/>
      <c r="X394" s="10"/>
      <c r="Z394" s="1"/>
      <c r="AB394" s="1"/>
      <c r="AF394" s="1"/>
      <c r="AJ394" s="1"/>
      <c r="AL394" s="1"/>
    </row>
    <row r="395" spans="1:38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1"/>
      <c r="M395" s="11"/>
      <c r="N395" s="12"/>
      <c r="O395" s="12"/>
      <c r="P395" s="10"/>
      <c r="Q395" s="10"/>
      <c r="R395" s="10"/>
      <c r="S395" s="13">
        <f>SUM(Table3[[#This Row],[Female ( age less than 17)]:[Male ( More than 18)2]])</f>
        <v>0</v>
      </c>
      <c r="T395" s="10"/>
      <c r="U395" s="10"/>
      <c r="V395" s="10"/>
      <c r="W395" s="10"/>
      <c r="X395" s="10"/>
      <c r="Z395" s="1"/>
      <c r="AB395" s="1"/>
      <c r="AF395" s="1"/>
      <c r="AJ395" s="1"/>
      <c r="AL395" s="1"/>
    </row>
    <row r="396" spans="1:38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1"/>
      <c r="M396" s="11"/>
      <c r="N396" s="12"/>
      <c r="O396" s="12"/>
      <c r="P396" s="10"/>
      <c r="Q396" s="10"/>
      <c r="R396" s="10"/>
      <c r="S396" s="13">
        <f>SUM(Table3[[#This Row],[Female ( age less than 17)]:[Male ( More than 18)2]])</f>
        <v>0</v>
      </c>
      <c r="T396" s="10"/>
      <c r="U396" s="10"/>
      <c r="V396" s="10"/>
      <c r="W396" s="10"/>
      <c r="X396" s="10"/>
      <c r="Z396" s="1"/>
      <c r="AB396" s="1"/>
      <c r="AF396" s="1"/>
      <c r="AJ396" s="1"/>
      <c r="AL396" s="1"/>
    </row>
    <row r="397" spans="1:38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1"/>
      <c r="M397" s="11"/>
      <c r="N397" s="12"/>
      <c r="O397" s="12"/>
      <c r="P397" s="10"/>
      <c r="Q397" s="10"/>
      <c r="R397" s="10"/>
      <c r="S397" s="13">
        <f>SUM(Table3[[#This Row],[Female ( age less than 17)]:[Male ( More than 18)2]])</f>
        <v>0</v>
      </c>
      <c r="T397" s="10"/>
      <c r="U397" s="10"/>
      <c r="V397" s="10"/>
      <c r="W397" s="10"/>
      <c r="X397" s="10"/>
      <c r="Z397" s="1"/>
      <c r="AB397" s="1"/>
      <c r="AF397" s="1"/>
      <c r="AJ397" s="1"/>
      <c r="AL397" s="1"/>
    </row>
    <row r="398" spans="1:38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1"/>
      <c r="M398" s="11"/>
      <c r="N398" s="12"/>
      <c r="O398" s="12"/>
      <c r="P398" s="10"/>
      <c r="Q398" s="10"/>
      <c r="R398" s="10"/>
      <c r="S398" s="13">
        <f>SUM(Table3[[#This Row],[Female ( age less than 17)]:[Male ( More than 18)2]])</f>
        <v>0</v>
      </c>
      <c r="T398" s="10"/>
      <c r="U398" s="10"/>
      <c r="V398" s="10"/>
      <c r="W398" s="10"/>
      <c r="X398" s="10"/>
      <c r="Z398" s="1"/>
      <c r="AB398" s="1"/>
      <c r="AF398" s="1"/>
      <c r="AJ398" s="1"/>
      <c r="AL398" s="1"/>
    </row>
    <row r="399" spans="1:38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1"/>
      <c r="M399" s="11"/>
      <c r="N399" s="12"/>
      <c r="O399" s="12"/>
      <c r="P399" s="10"/>
      <c r="Q399" s="10"/>
      <c r="R399" s="10"/>
      <c r="S399" s="13">
        <f>SUM(Table3[[#This Row],[Female ( age less than 17)]:[Male ( More than 18)2]])</f>
        <v>0</v>
      </c>
      <c r="T399" s="10"/>
      <c r="U399" s="10"/>
      <c r="V399" s="10"/>
      <c r="W399" s="10"/>
      <c r="X399" s="10"/>
      <c r="Z399" s="1"/>
      <c r="AB399" s="1"/>
      <c r="AF399" s="1"/>
      <c r="AJ399" s="1"/>
      <c r="AL399" s="1"/>
    </row>
    <row r="400" spans="1:38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1"/>
      <c r="M400" s="11"/>
      <c r="N400" s="12"/>
      <c r="O400" s="12"/>
      <c r="P400" s="10"/>
      <c r="Q400" s="10"/>
      <c r="R400" s="10"/>
      <c r="S400" s="13">
        <f>SUM(Table3[[#This Row],[Female ( age less than 17)]:[Male ( More than 18)2]])</f>
        <v>0</v>
      </c>
      <c r="T400" s="10"/>
      <c r="U400" s="10"/>
      <c r="V400" s="10"/>
      <c r="W400" s="10"/>
      <c r="X400" s="10"/>
      <c r="Z400" s="1"/>
      <c r="AB400" s="1"/>
      <c r="AF400" s="1"/>
      <c r="AJ400" s="1"/>
      <c r="AL400" s="1"/>
    </row>
    <row r="401" spans="1:38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1"/>
      <c r="M401" s="11"/>
      <c r="N401" s="12"/>
      <c r="O401" s="12"/>
      <c r="P401" s="10"/>
      <c r="Q401" s="10"/>
      <c r="R401" s="10"/>
      <c r="S401" s="13">
        <f>SUM(Table3[[#This Row],[Female ( age less than 17)]:[Male ( More than 18)2]])</f>
        <v>0</v>
      </c>
      <c r="T401" s="10"/>
      <c r="U401" s="10"/>
      <c r="V401" s="10"/>
      <c r="W401" s="10"/>
      <c r="X401" s="10"/>
      <c r="Z401" s="1"/>
      <c r="AB401" s="1"/>
      <c r="AF401" s="1"/>
      <c r="AJ401" s="1"/>
      <c r="AL401" s="1"/>
    </row>
    <row r="402" spans="1:38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1"/>
      <c r="M402" s="11"/>
      <c r="N402" s="12"/>
      <c r="O402" s="12"/>
      <c r="P402" s="10"/>
      <c r="Q402" s="10"/>
      <c r="R402" s="10"/>
      <c r="S402" s="13">
        <f>SUM(Table3[[#This Row],[Female ( age less than 17)]:[Male ( More than 18)2]])</f>
        <v>0</v>
      </c>
      <c r="T402" s="10"/>
      <c r="U402" s="10"/>
      <c r="V402" s="10"/>
      <c r="W402" s="10"/>
      <c r="X402" s="10"/>
      <c r="Z402" s="1"/>
      <c r="AB402" s="1"/>
      <c r="AF402" s="1"/>
      <c r="AJ402" s="1"/>
      <c r="AL402" s="1"/>
    </row>
    <row r="403" spans="1:38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1"/>
      <c r="M403" s="11"/>
      <c r="N403" s="12"/>
      <c r="O403" s="12"/>
      <c r="P403" s="10"/>
      <c r="Q403" s="10"/>
      <c r="R403" s="10"/>
      <c r="S403" s="13">
        <f>SUM(Table3[[#This Row],[Female ( age less than 17)]:[Male ( More than 18)2]])</f>
        <v>0</v>
      </c>
      <c r="T403" s="10"/>
      <c r="U403" s="10"/>
      <c r="V403" s="10"/>
      <c r="W403" s="10"/>
      <c r="X403" s="10"/>
      <c r="Z403" s="1"/>
      <c r="AB403" s="1"/>
      <c r="AF403" s="1"/>
      <c r="AJ403" s="1"/>
      <c r="AL403" s="1"/>
    </row>
    <row r="404" spans="1:38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1"/>
      <c r="M404" s="11"/>
      <c r="N404" s="12"/>
      <c r="O404" s="12"/>
      <c r="P404" s="10"/>
      <c r="Q404" s="10"/>
      <c r="R404" s="10"/>
      <c r="S404" s="13">
        <f>SUM(Table3[[#This Row],[Female ( age less than 17)]:[Male ( More than 18)2]])</f>
        <v>0</v>
      </c>
      <c r="T404" s="10"/>
      <c r="U404" s="10"/>
      <c r="V404" s="10"/>
      <c r="W404" s="10"/>
      <c r="X404" s="10"/>
      <c r="Z404" s="1"/>
      <c r="AB404" s="1"/>
      <c r="AF404" s="1"/>
      <c r="AJ404" s="1"/>
      <c r="AL404" s="1"/>
    </row>
    <row r="405" spans="1:38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1"/>
      <c r="M405" s="11"/>
      <c r="N405" s="12"/>
      <c r="O405" s="12"/>
      <c r="P405" s="10"/>
      <c r="Q405" s="10"/>
      <c r="R405" s="10"/>
      <c r="S405" s="13">
        <f>SUM(Table3[[#This Row],[Female ( age less than 17)]:[Male ( More than 18)2]])</f>
        <v>0</v>
      </c>
      <c r="T405" s="10"/>
      <c r="U405" s="10"/>
      <c r="V405" s="10"/>
      <c r="W405" s="10"/>
      <c r="X405" s="10"/>
      <c r="Z405" s="1"/>
      <c r="AB405" s="1"/>
      <c r="AF405" s="1"/>
      <c r="AJ405" s="1"/>
      <c r="AL405" s="1"/>
    </row>
    <row r="406" spans="1:38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1"/>
      <c r="M406" s="11"/>
      <c r="N406" s="12"/>
      <c r="O406" s="12"/>
      <c r="P406" s="10"/>
      <c r="Q406" s="10"/>
      <c r="R406" s="10"/>
      <c r="S406" s="13">
        <f>SUM(Table3[[#This Row],[Female ( age less than 17)]:[Male ( More than 18)2]])</f>
        <v>0</v>
      </c>
      <c r="T406" s="10"/>
      <c r="U406" s="10"/>
      <c r="V406" s="10"/>
      <c r="W406" s="10"/>
      <c r="X406" s="10"/>
      <c r="Z406" s="1"/>
      <c r="AB406" s="1"/>
      <c r="AF406" s="1"/>
      <c r="AJ406" s="1"/>
      <c r="AL406" s="1"/>
    </row>
    <row r="407" spans="1:38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1"/>
      <c r="M407" s="11"/>
      <c r="N407" s="12"/>
      <c r="O407" s="12"/>
      <c r="P407" s="10"/>
      <c r="Q407" s="10"/>
      <c r="R407" s="10"/>
      <c r="S407" s="13">
        <f>SUM(Table3[[#This Row],[Female ( age less than 17)]:[Male ( More than 18)2]])</f>
        <v>0</v>
      </c>
      <c r="T407" s="10"/>
      <c r="U407" s="10"/>
      <c r="V407" s="10"/>
      <c r="W407" s="10"/>
      <c r="X407" s="10"/>
      <c r="Z407" s="1"/>
      <c r="AB407" s="1"/>
      <c r="AF407" s="1"/>
      <c r="AJ407" s="1"/>
      <c r="AL407" s="1"/>
    </row>
    <row r="408" spans="1:38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1"/>
      <c r="M408" s="11"/>
      <c r="N408" s="12"/>
      <c r="O408" s="12"/>
      <c r="P408" s="10"/>
      <c r="Q408" s="10"/>
      <c r="R408" s="10"/>
      <c r="S408" s="13">
        <f>SUM(Table3[[#This Row],[Female ( age less than 17)]:[Male ( More than 18)2]])</f>
        <v>0</v>
      </c>
      <c r="T408" s="10"/>
      <c r="U408" s="10"/>
      <c r="V408" s="10"/>
      <c r="W408" s="10"/>
      <c r="X408" s="10"/>
      <c r="Z408" s="1"/>
      <c r="AB408" s="1"/>
      <c r="AF408" s="1"/>
      <c r="AJ408" s="1"/>
      <c r="AL408" s="1"/>
    </row>
    <row r="409" spans="1:38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1"/>
      <c r="M409" s="11"/>
      <c r="N409" s="12"/>
      <c r="O409" s="12"/>
      <c r="P409" s="10"/>
      <c r="Q409" s="10"/>
      <c r="R409" s="10"/>
      <c r="S409" s="13">
        <f>SUM(Table3[[#This Row],[Female ( age less than 17)]:[Male ( More than 18)2]])</f>
        <v>0</v>
      </c>
      <c r="T409" s="10"/>
      <c r="U409" s="10"/>
      <c r="V409" s="10"/>
      <c r="W409" s="10"/>
      <c r="X409" s="10"/>
      <c r="Z409" s="1"/>
      <c r="AB409" s="1"/>
      <c r="AF409" s="1"/>
      <c r="AJ409" s="1"/>
      <c r="AL409" s="1"/>
    </row>
    <row r="410" spans="1:38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1"/>
      <c r="M410" s="11"/>
      <c r="N410" s="12"/>
      <c r="O410" s="12"/>
      <c r="P410" s="10"/>
      <c r="Q410" s="10"/>
      <c r="R410" s="10"/>
      <c r="S410" s="13">
        <f>SUM(Table3[[#This Row],[Female ( age less than 17)]:[Male ( More than 18)2]])</f>
        <v>0</v>
      </c>
      <c r="T410" s="10"/>
      <c r="U410" s="10"/>
      <c r="V410" s="10"/>
      <c r="W410" s="10"/>
      <c r="X410" s="10"/>
      <c r="Z410" s="1"/>
      <c r="AB410" s="1"/>
      <c r="AF410" s="1"/>
      <c r="AJ410" s="1"/>
      <c r="AL410" s="1"/>
    </row>
    <row r="411" spans="1:38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1"/>
      <c r="M411" s="11"/>
      <c r="N411" s="12"/>
      <c r="O411" s="12"/>
      <c r="P411" s="10"/>
      <c r="Q411" s="10"/>
      <c r="R411" s="10"/>
      <c r="S411" s="13">
        <f>SUM(Table3[[#This Row],[Female ( age less than 17)]:[Male ( More than 18)2]])</f>
        <v>0</v>
      </c>
      <c r="T411" s="10"/>
      <c r="U411" s="10"/>
      <c r="V411" s="10"/>
      <c r="W411" s="10"/>
      <c r="X411" s="10"/>
      <c r="Z411" s="1"/>
      <c r="AB411" s="1"/>
      <c r="AF411" s="1"/>
      <c r="AJ411" s="1"/>
      <c r="AL411" s="1"/>
    </row>
    <row r="412" spans="1:38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1"/>
      <c r="M412" s="11"/>
      <c r="N412" s="12"/>
      <c r="O412" s="12"/>
      <c r="P412" s="10"/>
      <c r="Q412" s="10"/>
      <c r="R412" s="10"/>
      <c r="S412" s="13">
        <f>SUM(Table3[[#This Row],[Female ( age less than 17)]:[Male ( More than 18)2]])</f>
        <v>0</v>
      </c>
      <c r="T412" s="10"/>
      <c r="U412" s="10"/>
      <c r="V412" s="10"/>
      <c r="W412" s="10"/>
      <c r="X412" s="10"/>
      <c r="Z412" s="1"/>
      <c r="AB412" s="1"/>
      <c r="AF412" s="1"/>
      <c r="AJ412" s="1"/>
      <c r="AL412" s="1"/>
    </row>
    <row r="413" spans="1:38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1"/>
      <c r="M413" s="11"/>
      <c r="N413" s="12"/>
      <c r="O413" s="12"/>
      <c r="P413" s="10"/>
      <c r="Q413" s="10"/>
      <c r="R413" s="10"/>
      <c r="S413" s="13">
        <f>SUM(Table3[[#This Row],[Female ( age less than 17)]:[Male ( More than 18)2]])</f>
        <v>0</v>
      </c>
      <c r="T413" s="10"/>
      <c r="U413" s="10"/>
      <c r="V413" s="10"/>
      <c r="W413" s="10"/>
      <c r="X413" s="10"/>
      <c r="Z413" s="1"/>
      <c r="AB413" s="1"/>
      <c r="AF413" s="1"/>
      <c r="AJ413" s="1"/>
      <c r="AL413" s="1"/>
    </row>
    <row r="414" spans="1:38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1"/>
      <c r="M414" s="11"/>
      <c r="N414" s="12"/>
      <c r="O414" s="12"/>
      <c r="P414" s="10"/>
      <c r="Q414" s="10"/>
      <c r="R414" s="10"/>
      <c r="S414" s="13">
        <f>SUM(Table3[[#This Row],[Female ( age less than 17)]:[Male ( More than 18)2]])</f>
        <v>0</v>
      </c>
      <c r="T414" s="10"/>
      <c r="U414" s="10"/>
      <c r="V414" s="10"/>
      <c r="W414" s="10"/>
      <c r="X414" s="10"/>
      <c r="Z414" s="1"/>
      <c r="AB414" s="1"/>
      <c r="AF414" s="1"/>
      <c r="AJ414" s="1"/>
      <c r="AL414" s="1"/>
    </row>
    <row r="415" spans="1:38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1"/>
      <c r="M415" s="11"/>
      <c r="N415" s="12"/>
      <c r="O415" s="12"/>
      <c r="P415" s="10"/>
      <c r="Q415" s="10"/>
      <c r="R415" s="10"/>
      <c r="S415" s="13">
        <f>SUM(Table3[[#This Row],[Female ( age less than 17)]:[Male ( More than 18)2]])</f>
        <v>0</v>
      </c>
      <c r="T415" s="10"/>
      <c r="U415" s="10"/>
      <c r="V415" s="10"/>
      <c r="W415" s="10"/>
      <c r="X415" s="10"/>
      <c r="Z415" s="1"/>
      <c r="AB415" s="1"/>
      <c r="AF415" s="1"/>
      <c r="AJ415" s="1"/>
      <c r="AL415" s="1"/>
    </row>
    <row r="416" spans="1:38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1"/>
      <c r="M416" s="11"/>
      <c r="N416" s="12"/>
      <c r="O416" s="12"/>
      <c r="P416" s="10"/>
      <c r="Q416" s="10"/>
      <c r="R416" s="10"/>
      <c r="S416" s="13">
        <f>SUM(Table3[[#This Row],[Female ( age less than 17)]:[Male ( More than 18)2]])</f>
        <v>0</v>
      </c>
      <c r="T416" s="10"/>
      <c r="U416" s="10"/>
      <c r="V416" s="10"/>
      <c r="W416" s="10"/>
      <c r="X416" s="10"/>
      <c r="Z416" s="1"/>
      <c r="AB416" s="1"/>
      <c r="AF416" s="1"/>
      <c r="AJ416" s="1"/>
      <c r="AL416" s="1"/>
    </row>
    <row r="417" spans="1:38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1"/>
      <c r="M417" s="11"/>
      <c r="N417" s="12"/>
      <c r="O417" s="12"/>
      <c r="P417" s="10"/>
      <c r="Q417" s="10"/>
      <c r="R417" s="10"/>
      <c r="S417" s="13">
        <f>SUM(Table3[[#This Row],[Female ( age less than 17)]:[Male ( More than 18)2]])</f>
        <v>0</v>
      </c>
      <c r="T417" s="10"/>
      <c r="U417" s="10"/>
      <c r="V417" s="10"/>
      <c r="W417" s="10"/>
      <c r="X417" s="10"/>
      <c r="Z417" s="1"/>
      <c r="AB417" s="1"/>
      <c r="AF417" s="1"/>
      <c r="AJ417" s="1"/>
      <c r="AL417" s="1"/>
    </row>
    <row r="418" spans="1:38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1"/>
      <c r="M418" s="11"/>
      <c r="N418" s="12"/>
      <c r="O418" s="12"/>
      <c r="P418" s="10"/>
      <c r="Q418" s="10"/>
      <c r="R418" s="10"/>
      <c r="S418" s="13">
        <f>SUM(Table3[[#This Row],[Female ( age less than 17)]:[Male ( More than 18)2]])</f>
        <v>0</v>
      </c>
      <c r="T418" s="10"/>
      <c r="U418" s="10"/>
      <c r="V418" s="10"/>
      <c r="W418" s="10"/>
      <c r="X418" s="10"/>
      <c r="Z418" s="1"/>
      <c r="AB418" s="1"/>
      <c r="AF418" s="1"/>
      <c r="AJ418" s="1"/>
      <c r="AL418" s="1"/>
    </row>
    <row r="419" spans="1:38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1"/>
      <c r="M419" s="11"/>
      <c r="N419" s="12"/>
      <c r="O419" s="12"/>
      <c r="P419" s="10"/>
      <c r="Q419" s="10"/>
      <c r="R419" s="10"/>
      <c r="S419" s="13">
        <f>SUM(Table3[[#This Row],[Female ( age less than 17)]:[Male ( More than 18)2]])</f>
        <v>0</v>
      </c>
      <c r="T419" s="10"/>
      <c r="U419" s="10"/>
      <c r="V419" s="10"/>
      <c r="W419" s="10"/>
      <c r="X419" s="10"/>
      <c r="Z419" s="1"/>
      <c r="AB419" s="1"/>
      <c r="AF419" s="1"/>
      <c r="AJ419" s="1"/>
      <c r="AL419" s="1"/>
    </row>
    <row r="420" spans="1:38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1"/>
      <c r="M420" s="11"/>
      <c r="N420" s="12"/>
      <c r="O420" s="12"/>
      <c r="P420" s="10"/>
      <c r="Q420" s="10"/>
      <c r="R420" s="10"/>
      <c r="S420" s="13">
        <f>SUM(Table3[[#This Row],[Female ( age less than 17)]:[Male ( More than 18)2]])</f>
        <v>0</v>
      </c>
      <c r="T420" s="10"/>
      <c r="U420" s="10"/>
      <c r="V420" s="10"/>
      <c r="W420" s="10"/>
      <c r="X420" s="10"/>
      <c r="Z420" s="1"/>
      <c r="AB420" s="1"/>
      <c r="AF420" s="1"/>
      <c r="AJ420" s="1"/>
      <c r="AL420" s="1"/>
    </row>
    <row r="421" spans="1:38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1"/>
      <c r="M421" s="11"/>
      <c r="N421" s="12"/>
      <c r="O421" s="12"/>
      <c r="P421" s="10"/>
      <c r="Q421" s="10"/>
      <c r="R421" s="10"/>
      <c r="S421" s="13">
        <f>SUM(Table3[[#This Row],[Female ( age less than 17)]:[Male ( More than 18)2]])</f>
        <v>0</v>
      </c>
      <c r="T421" s="10"/>
      <c r="U421" s="10"/>
      <c r="V421" s="10"/>
      <c r="W421" s="10"/>
      <c r="X421" s="10"/>
      <c r="Z421" s="1"/>
      <c r="AB421" s="1"/>
      <c r="AF421" s="1"/>
      <c r="AJ421" s="1"/>
      <c r="AL421" s="1"/>
    </row>
    <row r="422" spans="1:38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1"/>
      <c r="M422" s="11"/>
      <c r="N422" s="12"/>
      <c r="O422" s="12"/>
      <c r="P422" s="10"/>
      <c r="Q422" s="10"/>
      <c r="R422" s="10"/>
      <c r="S422" s="13">
        <f>SUM(Table3[[#This Row],[Female ( age less than 17)]:[Male ( More than 18)2]])</f>
        <v>0</v>
      </c>
      <c r="T422" s="10"/>
      <c r="U422" s="10"/>
      <c r="V422" s="10"/>
      <c r="W422" s="10"/>
      <c r="X422" s="10"/>
      <c r="Z422" s="1"/>
      <c r="AB422" s="1"/>
      <c r="AF422" s="1"/>
      <c r="AJ422" s="1"/>
      <c r="AL422" s="1"/>
    </row>
    <row r="423" spans="1:38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1"/>
      <c r="M423" s="11"/>
      <c r="N423" s="12"/>
      <c r="O423" s="12"/>
      <c r="P423" s="10"/>
      <c r="Q423" s="10"/>
      <c r="R423" s="10"/>
      <c r="S423" s="13">
        <f>SUM(Table3[[#This Row],[Female ( age less than 17)]:[Male ( More than 18)2]])</f>
        <v>0</v>
      </c>
      <c r="T423" s="10"/>
      <c r="U423" s="10"/>
      <c r="V423" s="10"/>
      <c r="W423" s="10"/>
      <c r="X423" s="10"/>
      <c r="Z423" s="1"/>
      <c r="AB423" s="1"/>
      <c r="AF423" s="1"/>
      <c r="AJ423" s="1"/>
      <c r="AL423" s="1"/>
    </row>
    <row r="424" spans="1:38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1"/>
      <c r="M424" s="11"/>
      <c r="N424" s="12"/>
      <c r="O424" s="12"/>
      <c r="P424" s="10"/>
      <c r="Q424" s="10"/>
      <c r="R424" s="10"/>
      <c r="S424" s="13">
        <f>SUM(Table3[[#This Row],[Female ( age less than 17)]:[Male ( More than 18)2]])</f>
        <v>0</v>
      </c>
      <c r="T424" s="10"/>
      <c r="U424" s="10"/>
      <c r="V424" s="10"/>
      <c r="W424" s="10"/>
      <c r="X424" s="10"/>
      <c r="Z424" s="1"/>
      <c r="AB424" s="1"/>
      <c r="AF424" s="1"/>
      <c r="AJ424" s="1"/>
      <c r="AL424" s="1"/>
    </row>
    <row r="425" spans="1:38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1"/>
      <c r="M425" s="11"/>
      <c r="N425" s="12"/>
      <c r="O425" s="12"/>
      <c r="P425" s="10"/>
      <c r="Q425" s="10"/>
      <c r="R425" s="10"/>
      <c r="S425" s="13">
        <f>SUM(Table3[[#This Row],[Female ( age less than 17)]:[Male ( More than 18)2]])</f>
        <v>0</v>
      </c>
      <c r="T425" s="10"/>
      <c r="U425" s="10"/>
      <c r="V425" s="10"/>
      <c r="W425" s="10"/>
      <c r="X425" s="10"/>
      <c r="Z425" s="1"/>
      <c r="AB425" s="1"/>
      <c r="AF425" s="1"/>
      <c r="AJ425" s="1"/>
      <c r="AL425" s="1"/>
    </row>
    <row r="426" spans="1:38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1"/>
      <c r="M426" s="11"/>
      <c r="N426" s="12"/>
      <c r="O426" s="12"/>
      <c r="P426" s="10"/>
      <c r="Q426" s="10"/>
      <c r="R426" s="10"/>
      <c r="S426" s="13">
        <f>SUM(Table3[[#This Row],[Female ( age less than 17)]:[Male ( More than 18)2]])</f>
        <v>0</v>
      </c>
      <c r="T426" s="10"/>
      <c r="U426" s="10"/>
      <c r="V426" s="10"/>
      <c r="W426" s="10"/>
      <c r="X426" s="10"/>
      <c r="Z426" s="1"/>
      <c r="AB426" s="1"/>
      <c r="AF426" s="1"/>
      <c r="AJ426" s="1"/>
      <c r="AL426" s="1"/>
    </row>
    <row r="427" spans="1:38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1"/>
      <c r="M427" s="11"/>
      <c r="N427" s="12"/>
      <c r="O427" s="12"/>
      <c r="P427" s="10"/>
      <c r="Q427" s="10"/>
      <c r="R427" s="10"/>
      <c r="S427" s="13">
        <f>SUM(Table3[[#This Row],[Female ( age less than 17)]:[Male ( More than 18)2]])</f>
        <v>0</v>
      </c>
      <c r="T427" s="10"/>
      <c r="U427" s="10"/>
      <c r="V427" s="10"/>
      <c r="W427" s="10"/>
      <c r="X427" s="10"/>
      <c r="Z427" s="1"/>
      <c r="AB427" s="1"/>
      <c r="AF427" s="1"/>
      <c r="AJ427" s="1"/>
      <c r="AL427" s="1"/>
    </row>
    <row r="428" spans="1:38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1"/>
      <c r="M428" s="11"/>
      <c r="N428" s="12"/>
      <c r="O428" s="12"/>
      <c r="P428" s="10"/>
      <c r="Q428" s="10"/>
      <c r="R428" s="10"/>
      <c r="S428" s="13">
        <f>SUM(Table3[[#This Row],[Female ( age less than 17)]:[Male ( More than 18)2]])</f>
        <v>0</v>
      </c>
      <c r="T428" s="10"/>
      <c r="U428" s="10"/>
      <c r="V428" s="10"/>
      <c r="W428" s="10"/>
      <c r="X428" s="10"/>
      <c r="Z428" s="1"/>
      <c r="AB428" s="1"/>
      <c r="AF428" s="1"/>
      <c r="AJ428" s="1"/>
      <c r="AL428" s="1"/>
    </row>
    <row r="429" spans="1:38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1"/>
      <c r="M429" s="11"/>
      <c r="N429" s="12"/>
      <c r="O429" s="12"/>
      <c r="P429" s="10"/>
      <c r="Q429" s="10"/>
      <c r="R429" s="10"/>
      <c r="S429" s="13">
        <f>SUM(Table3[[#This Row],[Female ( age less than 17)]:[Male ( More than 18)2]])</f>
        <v>0</v>
      </c>
      <c r="T429" s="10"/>
      <c r="U429" s="10"/>
      <c r="V429" s="10"/>
      <c r="W429" s="10"/>
      <c r="X429" s="10"/>
      <c r="Z429" s="1"/>
      <c r="AB429" s="1"/>
      <c r="AF429" s="1"/>
      <c r="AJ429" s="1"/>
      <c r="AL429" s="1"/>
    </row>
    <row r="430" spans="1:38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1"/>
      <c r="M430" s="11"/>
      <c r="N430" s="12"/>
      <c r="O430" s="12"/>
      <c r="P430" s="10"/>
      <c r="Q430" s="10"/>
      <c r="R430" s="10"/>
      <c r="S430" s="13">
        <f>SUM(Table3[[#This Row],[Female ( age less than 17)]:[Male ( More than 18)2]])</f>
        <v>0</v>
      </c>
      <c r="T430" s="10"/>
      <c r="U430" s="10"/>
      <c r="V430" s="10"/>
      <c r="W430" s="10"/>
      <c r="X430" s="10"/>
      <c r="Z430" s="1"/>
      <c r="AB430" s="1"/>
      <c r="AF430" s="1"/>
      <c r="AJ430" s="1"/>
      <c r="AL430" s="1"/>
    </row>
    <row r="431" spans="1:38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1"/>
      <c r="M431" s="11"/>
      <c r="N431" s="12"/>
      <c r="O431" s="12"/>
      <c r="P431" s="10"/>
      <c r="Q431" s="10"/>
      <c r="R431" s="10"/>
      <c r="S431" s="13">
        <f>SUM(Table3[[#This Row],[Female ( age less than 17)]:[Male ( More than 18)2]])</f>
        <v>0</v>
      </c>
      <c r="T431" s="10"/>
      <c r="U431" s="10"/>
      <c r="V431" s="10"/>
      <c r="W431" s="10"/>
      <c r="X431" s="10"/>
      <c r="Z431" s="1"/>
      <c r="AB431" s="1"/>
      <c r="AF431" s="1"/>
      <c r="AJ431" s="1"/>
      <c r="AL431" s="1"/>
    </row>
    <row r="432" spans="1:38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1"/>
      <c r="M432" s="11"/>
      <c r="N432" s="12"/>
      <c r="O432" s="12"/>
      <c r="P432" s="10"/>
      <c r="Q432" s="10"/>
      <c r="R432" s="10"/>
      <c r="S432" s="13">
        <f>SUM(Table3[[#This Row],[Female ( age less than 17)]:[Male ( More than 18)2]])</f>
        <v>0</v>
      </c>
      <c r="T432" s="10"/>
      <c r="U432" s="10"/>
      <c r="V432" s="10"/>
      <c r="W432" s="10"/>
      <c r="X432" s="10"/>
      <c r="Z432" s="1"/>
      <c r="AB432" s="1"/>
      <c r="AF432" s="1"/>
      <c r="AJ432" s="1"/>
      <c r="AL432" s="1"/>
    </row>
    <row r="433" spans="1:38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1"/>
      <c r="M433" s="11"/>
      <c r="N433" s="12"/>
      <c r="O433" s="12"/>
      <c r="P433" s="10"/>
      <c r="Q433" s="10"/>
      <c r="R433" s="10"/>
      <c r="S433" s="13">
        <f>SUM(Table3[[#This Row],[Female ( age less than 17)]:[Male ( More than 18)2]])</f>
        <v>0</v>
      </c>
      <c r="T433" s="10"/>
      <c r="U433" s="10"/>
      <c r="V433" s="10"/>
      <c r="W433" s="10"/>
      <c r="X433" s="10"/>
      <c r="Z433" s="1"/>
      <c r="AB433" s="1"/>
      <c r="AF433" s="1"/>
      <c r="AJ433" s="1"/>
      <c r="AL433" s="1"/>
    </row>
    <row r="434" spans="1:38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1"/>
      <c r="M434" s="11"/>
      <c r="N434" s="12"/>
      <c r="O434" s="12"/>
      <c r="P434" s="10"/>
      <c r="Q434" s="10"/>
      <c r="R434" s="10"/>
      <c r="S434" s="13">
        <f>SUM(Table3[[#This Row],[Female ( age less than 17)]:[Male ( More than 18)2]])</f>
        <v>0</v>
      </c>
      <c r="T434" s="10"/>
      <c r="U434" s="10"/>
      <c r="V434" s="10"/>
      <c r="W434" s="10"/>
      <c r="X434" s="10"/>
      <c r="Z434" s="1"/>
      <c r="AB434" s="1"/>
      <c r="AF434" s="1"/>
      <c r="AJ434" s="1"/>
      <c r="AL434" s="1"/>
    </row>
    <row r="435" spans="1:38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1"/>
      <c r="M435" s="11"/>
      <c r="N435" s="12"/>
      <c r="O435" s="12"/>
      <c r="P435" s="10"/>
      <c r="Q435" s="10"/>
      <c r="R435" s="10"/>
      <c r="S435" s="13">
        <f>SUM(Table3[[#This Row],[Female ( age less than 17)]:[Male ( More than 18)2]])</f>
        <v>0</v>
      </c>
      <c r="T435" s="10"/>
      <c r="U435" s="10"/>
      <c r="V435" s="10"/>
      <c r="W435" s="10"/>
      <c r="X435" s="10"/>
      <c r="Z435" s="1"/>
      <c r="AB435" s="1"/>
      <c r="AF435" s="1"/>
      <c r="AJ435" s="1"/>
      <c r="AL435" s="1"/>
    </row>
    <row r="436" spans="1:38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1"/>
      <c r="M436" s="11"/>
      <c r="N436" s="12"/>
      <c r="O436" s="12"/>
      <c r="P436" s="10"/>
      <c r="Q436" s="10"/>
      <c r="R436" s="10"/>
      <c r="S436" s="13">
        <f>SUM(Table3[[#This Row],[Female ( age less than 17)]:[Male ( More than 18)2]])</f>
        <v>0</v>
      </c>
      <c r="T436" s="10"/>
      <c r="U436" s="10"/>
      <c r="V436" s="10"/>
      <c r="W436" s="10"/>
      <c r="X436" s="10"/>
      <c r="Z436" s="1"/>
      <c r="AB436" s="1"/>
      <c r="AF436" s="1"/>
      <c r="AJ436" s="1"/>
      <c r="AL436" s="1"/>
    </row>
    <row r="437" spans="1:38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1"/>
      <c r="M437" s="11"/>
      <c r="N437" s="12"/>
      <c r="O437" s="12"/>
      <c r="P437" s="10"/>
      <c r="Q437" s="10"/>
      <c r="R437" s="10"/>
      <c r="S437" s="13">
        <f>SUM(Table3[[#This Row],[Female ( age less than 17)]:[Male ( More than 18)2]])</f>
        <v>0</v>
      </c>
      <c r="T437" s="10"/>
      <c r="U437" s="10"/>
      <c r="V437" s="10"/>
      <c r="W437" s="10"/>
      <c r="X437" s="10"/>
      <c r="Z437" s="1"/>
      <c r="AB437" s="1"/>
      <c r="AF437" s="1"/>
      <c r="AJ437" s="1"/>
      <c r="AL437" s="1"/>
    </row>
    <row r="438" spans="1:38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1"/>
      <c r="M438" s="11"/>
      <c r="N438" s="12"/>
      <c r="O438" s="12"/>
      <c r="P438" s="10"/>
      <c r="Q438" s="10"/>
      <c r="R438" s="10"/>
      <c r="S438" s="13">
        <f>SUM(Table3[[#This Row],[Female ( age less than 17)]:[Male ( More than 18)2]])</f>
        <v>0</v>
      </c>
      <c r="T438" s="10"/>
      <c r="U438" s="10"/>
      <c r="V438" s="10"/>
      <c r="W438" s="10"/>
      <c r="X438" s="10"/>
      <c r="Z438" s="1"/>
      <c r="AB438" s="1"/>
      <c r="AF438" s="1"/>
      <c r="AJ438" s="1"/>
      <c r="AL438" s="1"/>
    </row>
    <row r="439" spans="1:38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1"/>
      <c r="M439" s="11"/>
      <c r="N439" s="12"/>
      <c r="O439" s="12"/>
      <c r="P439" s="10"/>
      <c r="Q439" s="10"/>
      <c r="R439" s="10"/>
      <c r="S439" s="13">
        <f>SUM(Table3[[#This Row],[Female ( age less than 17)]:[Male ( More than 18)2]])</f>
        <v>0</v>
      </c>
      <c r="T439" s="10"/>
      <c r="U439" s="10"/>
      <c r="V439" s="10"/>
      <c r="W439" s="10"/>
      <c r="X439" s="10"/>
      <c r="Z439" s="1"/>
      <c r="AB439" s="1"/>
      <c r="AF439" s="1"/>
      <c r="AJ439" s="1"/>
      <c r="AL439" s="1"/>
    </row>
    <row r="440" spans="1:38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1"/>
      <c r="M440" s="11"/>
      <c r="N440" s="12"/>
      <c r="O440" s="12"/>
      <c r="P440" s="10"/>
      <c r="Q440" s="10"/>
      <c r="R440" s="10"/>
      <c r="S440" s="13">
        <f>SUM(Table3[[#This Row],[Female ( age less than 17)]:[Male ( More than 18)2]])</f>
        <v>0</v>
      </c>
      <c r="T440" s="10"/>
      <c r="U440" s="10"/>
      <c r="V440" s="10"/>
      <c r="W440" s="10"/>
      <c r="X440" s="10"/>
      <c r="Z440" s="1"/>
      <c r="AB440" s="1"/>
      <c r="AF440" s="1"/>
      <c r="AJ440" s="1"/>
      <c r="AL440" s="1"/>
    </row>
    <row r="441" spans="1:38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1"/>
      <c r="M441" s="11"/>
      <c r="N441" s="12"/>
      <c r="O441" s="12"/>
      <c r="P441" s="10"/>
      <c r="Q441" s="10"/>
      <c r="R441" s="10"/>
      <c r="S441" s="13">
        <f>SUM(Table3[[#This Row],[Female ( age less than 17)]:[Male ( More than 18)2]])</f>
        <v>0</v>
      </c>
      <c r="T441" s="10"/>
      <c r="U441" s="10"/>
      <c r="V441" s="10"/>
      <c r="W441" s="10"/>
      <c r="X441" s="10"/>
      <c r="Z441" s="1"/>
      <c r="AB441" s="1"/>
      <c r="AF441" s="1"/>
      <c r="AJ441" s="1"/>
      <c r="AL441" s="1"/>
    </row>
    <row r="442" spans="1:38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1"/>
      <c r="M442" s="11"/>
      <c r="N442" s="12"/>
      <c r="O442" s="12"/>
      <c r="P442" s="10"/>
      <c r="Q442" s="10"/>
      <c r="R442" s="10"/>
      <c r="S442" s="13">
        <f>SUM(Table3[[#This Row],[Female ( age less than 17)]:[Male ( More than 18)2]])</f>
        <v>0</v>
      </c>
      <c r="T442" s="10"/>
      <c r="U442" s="10"/>
      <c r="V442" s="10"/>
      <c r="W442" s="10"/>
      <c r="X442" s="10"/>
      <c r="Z442" s="1"/>
      <c r="AB442" s="1"/>
      <c r="AF442" s="1"/>
      <c r="AJ442" s="1"/>
      <c r="AL442" s="1"/>
    </row>
    <row r="443" spans="1:38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1"/>
      <c r="M443" s="11"/>
      <c r="N443" s="12"/>
      <c r="O443" s="12"/>
      <c r="P443" s="10"/>
      <c r="Q443" s="10"/>
      <c r="R443" s="10"/>
      <c r="S443" s="13">
        <f>SUM(Table3[[#This Row],[Female ( age less than 17)]:[Male ( More than 18)2]])</f>
        <v>0</v>
      </c>
      <c r="T443" s="10"/>
      <c r="U443" s="10"/>
      <c r="V443" s="10"/>
      <c r="W443" s="10"/>
      <c r="X443" s="10"/>
      <c r="Z443" s="1"/>
      <c r="AB443" s="1"/>
      <c r="AF443" s="1"/>
      <c r="AJ443" s="1"/>
      <c r="AL443" s="1"/>
    </row>
    <row r="444" spans="1:38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1"/>
      <c r="M444" s="11"/>
      <c r="N444" s="12"/>
      <c r="O444" s="12"/>
      <c r="P444" s="10"/>
      <c r="Q444" s="10"/>
      <c r="R444" s="10"/>
      <c r="S444" s="13">
        <f>SUM(Table3[[#This Row],[Female ( age less than 17)]:[Male ( More than 18)2]])</f>
        <v>0</v>
      </c>
      <c r="T444" s="10"/>
      <c r="U444" s="10"/>
      <c r="V444" s="10"/>
      <c r="W444" s="10"/>
      <c r="X444" s="10"/>
      <c r="Z444" s="1"/>
      <c r="AB444" s="1"/>
      <c r="AF444" s="1"/>
      <c r="AJ444" s="1"/>
      <c r="AL444" s="1"/>
    </row>
    <row r="445" spans="1:38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1"/>
      <c r="M445" s="11"/>
      <c r="N445" s="12"/>
      <c r="O445" s="12"/>
      <c r="P445" s="10"/>
      <c r="Q445" s="10"/>
      <c r="R445" s="10"/>
      <c r="S445" s="13">
        <f>SUM(Table3[[#This Row],[Female ( age less than 17)]:[Male ( More than 18)2]])</f>
        <v>0</v>
      </c>
      <c r="T445" s="10"/>
      <c r="U445" s="10"/>
      <c r="V445" s="10"/>
      <c r="W445" s="10"/>
      <c r="X445" s="10"/>
      <c r="Z445" s="1"/>
      <c r="AB445" s="1"/>
      <c r="AF445" s="1"/>
      <c r="AJ445" s="1"/>
      <c r="AL445" s="1"/>
    </row>
    <row r="446" spans="1:38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1"/>
      <c r="M446" s="11"/>
      <c r="N446" s="12"/>
      <c r="O446" s="12"/>
      <c r="P446" s="10"/>
      <c r="Q446" s="10"/>
      <c r="R446" s="10"/>
      <c r="S446" s="13">
        <f>SUM(Table3[[#This Row],[Female ( age less than 17)]:[Male ( More than 18)2]])</f>
        <v>0</v>
      </c>
      <c r="T446" s="10"/>
      <c r="U446" s="10"/>
      <c r="V446" s="10"/>
      <c r="W446" s="10"/>
      <c r="X446" s="10"/>
      <c r="Z446" s="1"/>
      <c r="AB446" s="1"/>
      <c r="AF446" s="1"/>
      <c r="AJ446" s="1"/>
      <c r="AL446" s="1"/>
    </row>
    <row r="447" spans="1:38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1"/>
      <c r="M447" s="11"/>
      <c r="N447" s="12"/>
      <c r="O447" s="12"/>
      <c r="P447" s="10"/>
      <c r="Q447" s="10"/>
      <c r="R447" s="10"/>
      <c r="S447" s="13">
        <f>SUM(Table3[[#This Row],[Female ( age less than 17)]:[Male ( More than 18)2]])</f>
        <v>0</v>
      </c>
      <c r="T447" s="10"/>
      <c r="U447" s="10"/>
      <c r="V447" s="10"/>
      <c r="W447" s="10"/>
      <c r="X447" s="10"/>
      <c r="Z447" s="1"/>
      <c r="AB447" s="1"/>
      <c r="AF447" s="1"/>
      <c r="AJ447" s="1"/>
      <c r="AL447" s="1"/>
    </row>
    <row r="448" spans="1:38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1"/>
      <c r="M448" s="11"/>
      <c r="N448" s="12"/>
      <c r="O448" s="12"/>
      <c r="P448" s="10"/>
      <c r="Q448" s="10"/>
      <c r="R448" s="10"/>
      <c r="S448" s="13">
        <f>SUM(Table3[[#This Row],[Female ( age less than 17)]:[Male ( More than 18)2]])</f>
        <v>0</v>
      </c>
      <c r="T448" s="10"/>
      <c r="U448" s="10"/>
      <c r="V448" s="10"/>
      <c r="W448" s="10"/>
      <c r="X448" s="10"/>
      <c r="Z448" s="1"/>
      <c r="AB448" s="1"/>
      <c r="AF448" s="1"/>
      <c r="AJ448" s="1"/>
      <c r="AL448" s="1"/>
    </row>
    <row r="449" spans="1:38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1"/>
      <c r="M449" s="11"/>
      <c r="N449" s="12"/>
      <c r="O449" s="12"/>
      <c r="P449" s="10"/>
      <c r="Q449" s="10"/>
      <c r="R449" s="10"/>
      <c r="S449" s="13">
        <f>SUM(Table3[[#This Row],[Female ( age less than 17)]:[Male ( More than 18)2]])</f>
        <v>0</v>
      </c>
      <c r="T449" s="10"/>
      <c r="U449" s="10"/>
      <c r="V449" s="10"/>
      <c r="W449" s="10"/>
      <c r="X449" s="10"/>
      <c r="Z449" s="1"/>
      <c r="AB449" s="1"/>
      <c r="AF449" s="1"/>
      <c r="AJ449" s="1"/>
      <c r="AL449" s="1"/>
    </row>
    <row r="450" spans="1:38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1"/>
      <c r="M450" s="11"/>
      <c r="N450" s="12"/>
      <c r="O450" s="12"/>
      <c r="P450" s="10"/>
      <c r="Q450" s="10"/>
      <c r="R450" s="10"/>
      <c r="S450" s="13">
        <f>SUM(Table3[[#This Row],[Female ( age less than 17)]:[Male ( More than 18)2]])</f>
        <v>0</v>
      </c>
      <c r="T450" s="10"/>
      <c r="U450" s="10"/>
      <c r="V450" s="10"/>
      <c r="W450" s="10"/>
      <c r="X450" s="10"/>
      <c r="Z450" s="1"/>
      <c r="AB450" s="1"/>
      <c r="AF450" s="1"/>
      <c r="AJ450" s="1"/>
      <c r="AL450" s="1"/>
    </row>
    <row r="451" spans="1:38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1"/>
      <c r="M451" s="11"/>
      <c r="N451" s="12"/>
      <c r="O451" s="12"/>
      <c r="P451" s="10"/>
      <c r="Q451" s="10"/>
      <c r="R451" s="10"/>
      <c r="S451" s="13">
        <f>SUM(Table3[[#This Row],[Female ( age less than 17)]:[Male ( More than 18)2]])</f>
        <v>0</v>
      </c>
      <c r="T451" s="10"/>
      <c r="U451" s="10"/>
      <c r="V451" s="10"/>
      <c r="W451" s="10"/>
      <c r="X451" s="10"/>
      <c r="Z451" s="1"/>
      <c r="AB451" s="1"/>
      <c r="AF451" s="1"/>
      <c r="AJ451" s="1"/>
      <c r="AL451" s="1"/>
    </row>
    <row r="452" spans="1:38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1"/>
      <c r="M452" s="11"/>
      <c r="N452" s="12"/>
      <c r="O452" s="12"/>
      <c r="P452" s="10"/>
      <c r="Q452" s="10"/>
      <c r="R452" s="10"/>
      <c r="S452" s="13">
        <f>SUM(Table3[[#This Row],[Female ( age less than 17)]:[Male ( More than 18)2]])</f>
        <v>0</v>
      </c>
      <c r="T452" s="10"/>
      <c r="U452" s="10"/>
      <c r="V452" s="10"/>
      <c r="W452" s="10"/>
      <c r="X452" s="10"/>
      <c r="Z452" s="1"/>
      <c r="AB452" s="1"/>
      <c r="AF452" s="1"/>
      <c r="AJ452" s="1"/>
      <c r="AL452" s="1"/>
    </row>
    <row r="453" spans="1:38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1"/>
      <c r="M453" s="11"/>
      <c r="N453" s="12"/>
      <c r="O453" s="12"/>
      <c r="P453" s="10"/>
      <c r="Q453" s="10"/>
      <c r="R453" s="10"/>
      <c r="S453" s="13">
        <f>SUM(Table3[[#This Row],[Female ( age less than 17)]:[Male ( More than 18)2]])</f>
        <v>0</v>
      </c>
      <c r="T453" s="10"/>
      <c r="U453" s="10"/>
      <c r="V453" s="10"/>
      <c r="W453" s="10"/>
      <c r="X453" s="10"/>
      <c r="Z453" s="1"/>
      <c r="AB453" s="1"/>
      <c r="AF453" s="1"/>
      <c r="AJ453" s="1"/>
      <c r="AL453" s="1"/>
    </row>
    <row r="454" spans="1:38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1"/>
      <c r="M454" s="11"/>
      <c r="N454" s="12"/>
      <c r="O454" s="12"/>
      <c r="P454" s="10"/>
      <c r="Q454" s="10"/>
      <c r="R454" s="10"/>
      <c r="S454" s="13">
        <f>SUM(Table3[[#This Row],[Female ( age less than 17)]:[Male ( More than 18)2]])</f>
        <v>0</v>
      </c>
      <c r="T454" s="10"/>
      <c r="U454" s="10"/>
      <c r="V454" s="10"/>
      <c r="W454" s="10"/>
      <c r="X454" s="10"/>
      <c r="Z454" s="1"/>
      <c r="AB454" s="1"/>
      <c r="AF454" s="1"/>
      <c r="AJ454" s="1"/>
      <c r="AL454" s="1"/>
    </row>
    <row r="455" spans="1:38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1"/>
      <c r="M455" s="11"/>
      <c r="N455" s="12"/>
      <c r="O455" s="12"/>
      <c r="P455" s="10"/>
      <c r="Q455" s="10"/>
      <c r="R455" s="10"/>
      <c r="S455" s="13">
        <f>SUM(Table3[[#This Row],[Female ( age less than 17)]:[Male ( More than 18)2]])</f>
        <v>0</v>
      </c>
      <c r="T455" s="10"/>
      <c r="U455" s="10"/>
      <c r="V455" s="10"/>
      <c r="W455" s="10"/>
      <c r="X455" s="10"/>
      <c r="Z455" s="1"/>
      <c r="AB455" s="1"/>
      <c r="AF455" s="1"/>
      <c r="AJ455" s="1"/>
      <c r="AL455" s="1"/>
    </row>
    <row r="456" spans="1:38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1"/>
      <c r="M456" s="11"/>
      <c r="N456" s="12"/>
      <c r="O456" s="12"/>
      <c r="P456" s="10"/>
      <c r="Q456" s="10"/>
      <c r="R456" s="10"/>
      <c r="S456" s="13">
        <f>SUM(Table3[[#This Row],[Female ( age less than 17)]:[Male ( More than 18)2]])</f>
        <v>0</v>
      </c>
      <c r="T456" s="10"/>
      <c r="U456" s="10"/>
      <c r="V456" s="10"/>
      <c r="W456" s="10"/>
      <c r="X456" s="10"/>
      <c r="Z456" s="1"/>
      <c r="AB456" s="1"/>
      <c r="AF456" s="1"/>
      <c r="AJ456" s="1"/>
      <c r="AL456" s="1"/>
    </row>
    <row r="457" spans="1:38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1"/>
      <c r="M457" s="11"/>
      <c r="N457" s="12"/>
      <c r="O457" s="12"/>
      <c r="P457" s="10"/>
      <c r="Q457" s="10"/>
      <c r="R457" s="10"/>
      <c r="S457" s="13">
        <f>SUM(Table3[[#This Row],[Female ( age less than 17)]:[Male ( More than 18)2]])</f>
        <v>0</v>
      </c>
      <c r="T457" s="10"/>
      <c r="U457" s="10"/>
      <c r="V457" s="10"/>
      <c r="W457" s="10"/>
      <c r="X457" s="10"/>
      <c r="Z457" s="1"/>
      <c r="AB457" s="1"/>
      <c r="AF457" s="1"/>
      <c r="AJ457" s="1"/>
      <c r="AL457" s="1"/>
    </row>
    <row r="458" spans="1:38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1"/>
      <c r="M458" s="11"/>
      <c r="N458" s="12"/>
      <c r="O458" s="12"/>
      <c r="P458" s="10"/>
      <c r="Q458" s="10"/>
      <c r="R458" s="10"/>
      <c r="S458" s="13">
        <f>SUM(Table3[[#This Row],[Female ( age less than 17)]:[Male ( More than 18)2]])</f>
        <v>0</v>
      </c>
      <c r="T458" s="10"/>
      <c r="U458" s="10"/>
      <c r="V458" s="10"/>
      <c r="W458" s="10"/>
      <c r="X458" s="10"/>
      <c r="Z458" s="1"/>
      <c r="AB458" s="1"/>
      <c r="AF458" s="1"/>
      <c r="AJ458" s="1"/>
      <c r="AL458" s="1"/>
    </row>
    <row r="459" spans="1:38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1"/>
      <c r="M459" s="11"/>
      <c r="N459" s="12"/>
      <c r="O459" s="12"/>
      <c r="P459" s="10"/>
      <c r="Q459" s="10"/>
      <c r="R459" s="10"/>
      <c r="S459" s="13">
        <f>SUM(Table3[[#This Row],[Female ( age less than 17)]:[Male ( More than 18)2]])</f>
        <v>0</v>
      </c>
      <c r="T459" s="10"/>
      <c r="U459" s="10"/>
      <c r="V459" s="10"/>
      <c r="W459" s="10"/>
      <c r="X459" s="10"/>
      <c r="Z459" s="1"/>
      <c r="AB459" s="1"/>
      <c r="AF459" s="1"/>
      <c r="AJ459" s="1"/>
      <c r="AL459" s="1"/>
    </row>
    <row r="460" spans="1:38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1"/>
      <c r="M460" s="11"/>
      <c r="N460" s="12"/>
      <c r="O460" s="12"/>
      <c r="P460" s="10"/>
      <c r="Q460" s="10"/>
      <c r="R460" s="10"/>
      <c r="S460" s="13">
        <f>SUM(Table3[[#This Row],[Female ( age less than 17)]:[Male ( More than 18)2]])</f>
        <v>0</v>
      </c>
      <c r="T460" s="10"/>
      <c r="U460" s="10"/>
      <c r="V460" s="10"/>
      <c r="W460" s="10"/>
      <c r="X460" s="10"/>
      <c r="Z460" s="1"/>
      <c r="AB460" s="1"/>
      <c r="AF460" s="1"/>
      <c r="AJ460" s="1"/>
      <c r="AL460" s="1"/>
    </row>
    <row r="461" spans="1:38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1"/>
      <c r="M461" s="11"/>
      <c r="N461" s="12"/>
      <c r="O461" s="12"/>
      <c r="P461" s="10"/>
      <c r="Q461" s="10"/>
      <c r="R461" s="10"/>
      <c r="S461" s="13">
        <f>SUM(Table3[[#This Row],[Female ( age less than 17)]:[Male ( More than 18)2]])</f>
        <v>0</v>
      </c>
      <c r="T461" s="10"/>
      <c r="U461" s="10"/>
      <c r="V461" s="10"/>
      <c r="W461" s="10"/>
      <c r="X461" s="10"/>
      <c r="Z461" s="1"/>
      <c r="AB461" s="1"/>
      <c r="AF461" s="1"/>
      <c r="AJ461" s="1"/>
      <c r="AL461" s="1"/>
    </row>
    <row r="462" spans="1:38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1"/>
      <c r="M462" s="11"/>
      <c r="N462" s="12"/>
      <c r="O462" s="12"/>
      <c r="P462" s="10"/>
      <c r="Q462" s="10"/>
      <c r="R462" s="10"/>
      <c r="S462" s="13">
        <f>SUM(Table3[[#This Row],[Female ( age less than 17)]:[Male ( More than 18)2]])</f>
        <v>0</v>
      </c>
      <c r="T462" s="10"/>
      <c r="U462" s="10"/>
      <c r="V462" s="10"/>
      <c r="W462" s="10"/>
      <c r="X462" s="10"/>
      <c r="Z462" s="1"/>
      <c r="AB462" s="1"/>
      <c r="AF462" s="1"/>
      <c r="AJ462" s="1"/>
      <c r="AL462" s="1"/>
    </row>
    <row r="463" spans="1:38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1"/>
      <c r="M463" s="11"/>
      <c r="N463" s="12"/>
      <c r="O463" s="12"/>
      <c r="P463" s="10"/>
      <c r="Q463" s="10"/>
      <c r="R463" s="10"/>
      <c r="S463" s="13">
        <f>SUM(Table3[[#This Row],[Female ( age less than 17)]:[Male ( More than 18)2]])</f>
        <v>0</v>
      </c>
      <c r="T463" s="10"/>
      <c r="U463" s="10"/>
      <c r="V463" s="10"/>
      <c r="W463" s="10"/>
      <c r="X463" s="10"/>
      <c r="Z463" s="1"/>
      <c r="AB463" s="1"/>
      <c r="AF463" s="1"/>
      <c r="AJ463" s="1"/>
      <c r="AL463" s="1"/>
    </row>
    <row r="464" spans="1:38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1"/>
      <c r="M464" s="11"/>
      <c r="N464" s="12"/>
      <c r="O464" s="12"/>
      <c r="P464" s="10"/>
      <c r="Q464" s="10"/>
      <c r="R464" s="10"/>
      <c r="S464" s="13">
        <f>SUM(Table3[[#This Row],[Female ( age less than 17)]:[Male ( More than 18)2]])</f>
        <v>0</v>
      </c>
      <c r="T464" s="10"/>
      <c r="U464" s="10"/>
      <c r="V464" s="10"/>
      <c r="W464" s="10"/>
      <c r="X464" s="10"/>
      <c r="Z464" s="1"/>
      <c r="AB464" s="1"/>
      <c r="AF464" s="1"/>
      <c r="AJ464" s="1"/>
      <c r="AL464" s="1"/>
    </row>
    <row r="465" spans="1:38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1"/>
      <c r="M465" s="11"/>
      <c r="N465" s="12"/>
      <c r="O465" s="12"/>
      <c r="P465" s="10"/>
      <c r="Q465" s="10"/>
      <c r="R465" s="10"/>
      <c r="S465" s="13">
        <f>SUM(Table3[[#This Row],[Female ( age less than 17)]:[Male ( More than 18)2]])</f>
        <v>0</v>
      </c>
      <c r="T465" s="10"/>
      <c r="U465" s="10"/>
      <c r="V465" s="10"/>
      <c r="W465" s="10"/>
      <c r="X465" s="10"/>
      <c r="Z465" s="1"/>
      <c r="AB465" s="1"/>
      <c r="AF465" s="1"/>
      <c r="AJ465" s="1"/>
      <c r="AL465" s="1"/>
    </row>
    <row r="466" spans="1:38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1"/>
      <c r="M466" s="11"/>
      <c r="N466" s="12"/>
      <c r="O466" s="12"/>
      <c r="P466" s="10"/>
      <c r="Q466" s="10"/>
      <c r="R466" s="10"/>
      <c r="S466" s="13">
        <f>SUM(Table3[[#This Row],[Female ( age less than 17)]:[Male ( More than 18)2]])</f>
        <v>0</v>
      </c>
      <c r="T466" s="10"/>
      <c r="U466" s="10"/>
      <c r="V466" s="10"/>
      <c r="W466" s="10"/>
      <c r="X466" s="10"/>
      <c r="Z466" s="1"/>
      <c r="AB466" s="1"/>
      <c r="AF466" s="1"/>
      <c r="AJ466" s="1"/>
      <c r="AL466" s="1"/>
    </row>
    <row r="467" spans="1:38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1"/>
      <c r="M467" s="11"/>
      <c r="N467" s="12"/>
      <c r="O467" s="12"/>
      <c r="P467" s="10"/>
      <c r="Q467" s="10"/>
      <c r="R467" s="10"/>
      <c r="S467" s="13">
        <f>SUM(Table3[[#This Row],[Female ( age less than 17)]:[Male ( More than 18)2]])</f>
        <v>0</v>
      </c>
      <c r="T467" s="10"/>
      <c r="U467" s="10"/>
      <c r="V467" s="10"/>
      <c r="W467" s="10"/>
      <c r="X467" s="10"/>
      <c r="Z467" s="1"/>
      <c r="AB467" s="1"/>
      <c r="AF467" s="1"/>
      <c r="AJ467" s="1"/>
      <c r="AL467" s="1"/>
    </row>
    <row r="468" spans="1:38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1"/>
      <c r="M468" s="11"/>
      <c r="N468" s="12"/>
      <c r="O468" s="12"/>
      <c r="P468" s="10"/>
      <c r="Q468" s="10"/>
      <c r="R468" s="10"/>
      <c r="S468" s="13">
        <f>SUM(Table3[[#This Row],[Female ( age less than 17)]:[Male ( More than 18)2]])</f>
        <v>0</v>
      </c>
      <c r="T468" s="10"/>
      <c r="U468" s="10"/>
      <c r="V468" s="10"/>
      <c r="W468" s="10"/>
      <c r="X468" s="10"/>
      <c r="Z468" s="1"/>
      <c r="AB468" s="1"/>
      <c r="AF468" s="1"/>
      <c r="AJ468" s="1"/>
      <c r="AL468" s="1"/>
    </row>
    <row r="469" spans="1:38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1"/>
      <c r="M469" s="11"/>
      <c r="N469" s="12"/>
      <c r="O469" s="12"/>
      <c r="P469" s="10"/>
      <c r="Q469" s="10"/>
      <c r="R469" s="10"/>
      <c r="S469" s="13">
        <f>SUM(Table3[[#This Row],[Female ( age less than 17)]:[Male ( More than 18)2]])</f>
        <v>0</v>
      </c>
      <c r="T469" s="10"/>
      <c r="U469" s="10"/>
      <c r="V469" s="10"/>
      <c r="W469" s="10"/>
      <c r="X469" s="10"/>
      <c r="Z469" s="1"/>
      <c r="AB469" s="1"/>
      <c r="AF469" s="1"/>
      <c r="AJ469" s="1"/>
      <c r="AL469" s="1"/>
    </row>
    <row r="470" spans="1:38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1"/>
      <c r="M470" s="11"/>
      <c r="N470" s="14"/>
      <c r="O470" s="15"/>
      <c r="P470" s="10"/>
      <c r="Q470" s="10"/>
      <c r="R470" s="10"/>
      <c r="S470" s="16">
        <f>SUM(Table3[[#This Row],[Female ( age less than 17)]:[Male ( More than 18)2]])</f>
        <v>0</v>
      </c>
      <c r="T470" s="10"/>
      <c r="U470" s="10"/>
      <c r="V470" s="10"/>
      <c r="W470" s="10"/>
      <c r="X470" s="10"/>
      <c r="Z470" s="1"/>
      <c r="AB470" s="1"/>
      <c r="AF470" s="1"/>
      <c r="AJ470" s="1"/>
      <c r="AL470" s="1"/>
    </row>
    <row r="471" spans="1:38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1"/>
      <c r="M471" s="11"/>
      <c r="N471" s="14"/>
      <c r="O471" s="15"/>
      <c r="P471" s="10"/>
      <c r="Q471" s="10"/>
      <c r="R471" s="10"/>
      <c r="S471" s="16">
        <f>SUM(Table3[[#This Row],[Female ( age less than 17)]:[Male ( More than 18)2]])</f>
        <v>0</v>
      </c>
      <c r="T471" s="10"/>
      <c r="U471" s="10"/>
      <c r="V471" s="10"/>
      <c r="W471" s="10"/>
      <c r="X471" s="10"/>
      <c r="Z471" s="1"/>
      <c r="AB471" s="1"/>
      <c r="AF471" s="1"/>
      <c r="AJ471" s="1"/>
      <c r="AL471" s="1"/>
    </row>
    <row r="472" spans="1:38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1"/>
      <c r="M472" s="11"/>
      <c r="N472" s="14"/>
      <c r="O472" s="15"/>
      <c r="P472" s="10"/>
      <c r="Q472" s="10"/>
      <c r="R472" s="10"/>
      <c r="S472" s="16">
        <f>SUM(Table3[[#This Row],[Female ( age less than 17)]:[Male ( More than 18)2]])</f>
        <v>0</v>
      </c>
      <c r="T472" s="10"/>
      <c r="U472" s="10"/>
      <c r="V472" s="10"/>
      <c r="W472" s="10"/>
      <c r="X472" s="10"/>
      <c r="Z472" s="1"/>
      <c r="AB472" s="1"/>
      <c r="AF472" s="1"/>
      <c r="AJ472" s="1"/>
      <c r="AL472" s="1"/>
    </row>
    <row r="473" spans="1:38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1"/>
      <c r="M473" s="11"/>
      <c r="N473" s="14"/>
      <c r="O473" s="15"/>
      <c r="P473" s="10"/>
      <c r="Q473" s="10"/>
      <c r="R473" s="10"/>
      <c r="S473" s="16">
        <f>SUM(Table3[[#This Row],[Female ( age less than 17)]:[Male ( More than 18)2]])</f>
        <v>0</v>
      </c>
      <c r="T473" s="10"/>
      <c r="U473" s="10"/>
      <c r="V473" s="10"/>
      <c r="W473" s="10"/>
      <c r="X473" s="10"/>
      <c r="Z473" s="1"/>
      <c r="AB473" s="1"/>
      <c r="AF473" s="1"/>
      <c r="AJ473" s="1"/>
      <c r="AL473" s="1"/>
    </row>
    <row r="474" spans="1:38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1"/>
      <c r="M474" s="11"/>
      <c r="N474" s="14"/>
      <c r="O474" s="15"/>
      <c r="P474" s="10"/>
      <c r="Q474" s="10"/>
      <c r="R474" s="10"/>
      <c r="S474" s="16">
        <f>SUM(Table3[[#This Row],[Female ( age less than 17)]:[Male ( More than 18)2]])</f>
        <v>0</v>
      </c>
      <c r="T474" s="10"/>
      <c r="U474" s="10"/>
      <c r="V474" s="10"/>
      <c r="W474" s="10"/>
      <c r="X474" s="10"/>
      <c r="Z474" s="1"/>
      <c r="AB474" s="1"/>
      <c r="AF474" s="1"/>
      <c r="AJ474" s="1"/>
      <c r="AL474" s="1"/>
    </row>
    <row r="475" spans="1:38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1"/>
      <c r="M475" s="11"/>
      <c r="N475" s="14"/>
      <c r="O475" s="15"/>
      <c r="P475" s="10"/>
      <c r="Q475" s="10"/>
      <c r="R475" s="10"/>
      <c r="S475" s="16">
        <f>SUM(Table3[[#This Row],[Female ( age less than 17)]:[Male ( More than 18)2]])</f>
        <v>0</v>
      </c>
      <c r="T475" s="10"/>
      <c r="U475" s="10"/>
      <c r="V475" s="10"/>
      <c r="W475" s="10"/>
      <c r="X475" s="10"/>
      <c r="Z475" s="1"/>
      <c r="AB475" s="1"/>
      <c r="AF475" s="1"/>
      <c r="AJ475" s="1"/>
      <c r="AL475" s="1"/>
    </row>
    <row r="476" spans="1:38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1"/>
      <c r="M476" s="11"/>
      <c r="N476" s="14"/>
      <c r="O476" s="15"/>
      <c r="P476" s="10"/>
      <c r="Q476" s="10"/>
      <c r="R476" s="10"/>
      <c r="S476" s="16">
        <f>SUM(Table3[[#This Row],[Female ( age less than 17)]:[Male ( More than 18)2]])</f>
        <v>0</v>
      </c>
      <c r="T476" s="10"/>
      <c r="U476" s="10"/>
      <c r="V476" s="10"/>
      <c r="W476" s="10"/>
      <c r="X476" s="10"/>
      <c r="Z476" s="1"/>
      <c r="AB476" s="1"/>
      <c r="AF476" s="1"/>
      <c r="AJ476" s="1"/>
      <c r="AL476" s="1"/>
    </row>
    <row r="477" spans="1:38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1"/>
      <c r="M477" s="11"/>
      <c r="N477" s="14"/>
      <c r="O477" s="15"/>
      <c r="P477" s="10"/>
      <c r="Q477" s="10"/>
      <c r="R477" s="10"/>
      <c r="S477" s="16">
        <f>SUM(Table3[[#This Row],[Female ( age less than 17)]:[Male ( More than 18)2]])</f>
        <v>0</v>
      </c>
      <c r="T477" s="10"/>
      <c r="U477" s="10"/>
      <c r="V477" s="10"/>
      <c r="W477" s="10"/>
      <c r="X477" s="10"/>
      <c r="Z477" s="1"/>
      <c r="AB477" s="1"/>
      <c r="AF477" s="1"/>
      <c r="AJ477" s="1"/>
      <c r="AL477" s="1"/>
    </row>
    <row r="478" spans="1:38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1"/>
      <c r="M478" s="11"/>
      <c r="N478" s="14"/>
      <c r="O478" s="15"/>
      <c r="P478" s="10"/>
      <c r="Q478" s="10"/>
      <c r="R478" s="10"/>
      <c r="S478" s="16">
        <f>SUM(Table3[[#This Row],[Female ( age less than 17)]:[Male ( More than 18)2]])</f>
        <v>0</v>
      </c>
      <c r="T478" s="10"/>
      <c r="U478" s="10"/>
      <c r="V478" s="10"/>
      <c r="W478" s="10"/>
      <c r="X478" s="10"/>
      <c r="Z478" s="1"/>
      <c r="AB478" s="1"/>
      <c r="AF478" s="1"/>
      <c r="AJ478" s="1"/>
      <c r="AL478" s="1"/>
    </row>
    <row r="479" spans="1:38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1"/>
      <c r="M479" s="11"/>
      <c r="N479" s="14"/>
      <c r="O479" s="15"/>
      <c r="P479" s="10"/>
      <c r="Q479" s="10"/>
      <c r="R479" s="10"/>
      <c r="S479" s="16">
        <f>SUM(Table3[[#This Row],[Female ( age less than 17)]:[Male ( More than 18)2]])</f>
        <v>0</v>
      </c>
      <c r="T479" s="10"/>
      <c r="U479" s="10"/>
      <c r="V479" s="10"/>
      <c r="W479" s="10"/>
      <c r="X479" s="10"/>
      <c r="Z479" s="1"/>
      <c r="AB479" s="1"/>
      <c r="AF479" s="1"/>
      <c r="AJ479" s="1"/>
      <c r="AL479" s="1"/>
    </row>
    <row r="480" spans="1:38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1"/>
      <c r="M480" s="11"/>
      <c r="N480" s="14"/>
      <c r="O480" s="15"/>
      <c r="P480" s="10"/>
      <c r="Q480" s="10"/>
      <c r="R480" s="10"/>
      <c r="S480" s="16">
        <f>SUM(Table3[[#This Row],[Female ( age less than 17)]:[Male ( More than 18)2]])</f>
        <v>0</v>
      </c>
      <c r="T480" s="10"/>
      <c r="U480" s="10"/>
      <c r="V480" s="10"/>
      <c r="W480" s="10"/>
      <c r="X480" s="10"/>
      <c r="Z480" s="1"/>
      <c r="AB480" s="1"/>
      <c r="AF480" s="1"/>
      <c r="AJ480" s="1"/>
      <c r="AL480" s="1"/>
    </row>
    <row r="481" spans="1:38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1"/>
      <c r="M481" s="11"/>
      <c r="N481" s="14"/>
      <c r="O481" s="15"/>
      <c r="P481" s="10"/>
      <c r="Q481" s="10"/>
      <c r="R481" s="10"/>
      <c r="S481" s="16">
        <f>SUM(Table3[[#This Row],[Female ( age less than 17)]:[Male ( More than 18)2]])</f>
        <v>0</v>
      </c>
      <c r="T481" s="10"/>
      <c r="U481" s="10"/>
      <c r="V481" s="10"/>
      <c r="W481" s="10"/>
      <c r="X481" s="10"/>
      <c r="Z481" s="1"/>
      <c r="AB481" s="1"/>
      <c r="AF481" s="1"/>
      <c r="AJ481" s="1"/>
      <c r="AL481" s="1"/>
    </row>
    <row r="482" spans="1:38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1"/>
      <c r="M482" s="11"/>
      <c r="N482" s="14"/>
      <c r="O482" s="15"/>
      <c r="P482" s="10"/>
      <c r="Q482" s="10"/>
      <c r="R482" s="10"/>
      <c r="S482" s="16">
        <f>SUM(Table3[[#This Row],[Female ( age less than 17)]:[Male ( More than 18)2]])</f>
        <v>0</v>
      </c>
      <c r="T482" s="10"/>
      <c r="U482" s="10"/>
      <c r="V482" s="10"/>
      <c r="W482" s="10"/>
      <c r="X482" s="10"/>
      <c r="Z482" s="1"/>
      <c r="AB482" s="1"/>
      <c r="AF482" s="1"/>
      <c r="AJ482" s="1"/>
      <c r="AL482" s="1"/>
    </row>
    <row r="483" spans="1:38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1"/>
      <c r="M483" s="11"/>
      <c r="N483" s="14"/>
      <c r="O483" s="15"/>
      <c r="P483" s="10"/>
      <c r="Q483" s="10"/>
      <c r="R483" s="10"/>
      <c r="S483" s="16">
        <f>SUM(Table3[[#This Row],[Female ( age less than 17)]:[Male ( More than 18)2]])</f>
        <v>0</v>
      </c>
      <c r="T483" s="10"/>
      <c r="U483" s="10"/>
      <c r="V483" s="10"/>
      <c r="W483" s="10"/>
      <c r="X483" s="10"/>
      <c r="Z483" s="1"/>
      <c r="AB483" s="1"/>
      <c r="AF483" s="1"/>
      <c r="AJ483" s="1"/>
      <c r="AL483" s="1"/>
    </row>
    <row r="484" spans="1:38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1"/>
      <c r="M484" s="11"/>
      <c r="N484" s="14"/>
      <c r="O484" s="15"/>
      <c r="P484" s="10"/>
      <c r="Q484" s="10"/>
      <c r="R484" s="10"/>
      <c r="S484" s="16">
        <f>SUM(Table3[[#This Row],[Female ( age less than 17)]:[Male ( More than 18)2]])</f>
        <v>0</v>
      </c>
      <c r="T484" s="10"/>
      <c r="U484" s="10"/>
      <c r="V484" s="10"/>
      <c r="W484" s="10"/>
      <c r="X484" s="10"/>
      <c r="Z484" s="1"/>
      <c r="AB484" s="1"/>
      <c r="AF484" s="1"/>
      <c r="AJ484" s="1"/>
      <c r="AL484" s="1"/>
    </row>
    <row r="485" spans="1:38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1"/>
      <c r="M485" s="11"/>
      <c r="N485" s="14"/>
      <c r="O485" s="15"/>
      <c r="P485" s="10"/>
      <c r="Q485" s="10"/>
      <c r="R485" s="10"/>
      <c r="S485" s="16">
        <f>SUM(Table3[[#This Row],[Female ( age less than 17)]:[Male ( More than 18)2]])</f>
        <v>0</v>
      </c>
      <c r="T485" s="10"/>
      <c r="U485" s="10"/>
      <c r="V485" s="10"/>
      <c r="W485" s="10"/>
      <c r="X485" s="10"/>
      <c r="Z485" s="1"/>
      <c r="AB485" s="1"/>
      <c r="AF485" s="1"/>
      <c r="AJ485" s="1"/>
      <c r="AL485" s="1"/>
    </row>
    <row r="486" spans="1:38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1"/>
      <c r="M486" s="11"/>
      <c r="N486" s="14"/>
      <c r="O486" s="15"/>
      <c r="P486" s="10"/>
      <c r="Q486" s="10"/>
      <c r="R486" s="10"/>
      <c r="S486" s="16">
        <f>SUM(Table3[[#This Row],[Female ( age less than 17)]:[Male ( More than 18)2]])</f>
        <v>0</v>
      </c>
      <c r="T486" s="10"/>
      <c r="U486" s="10"/>
      <c r="V486" s="10"/>
      <c r="W486" s="10"/>
      <c r="X486" s="10"/>
      <c r="Z486" s="1"/>
      <c r="AB486" s="1"/>
      <c r="AF486" s="1"/>
      <c r="AJ486" s="1"/>
      <c r="AL486" s="1"/>
    </row>
    <row r="487" spans="1:38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1"/>
      <c r="M487" s="11"/>
      <c r="N487" s="14"/>
      <c r="O487" s="15"/>
      <c r="P487" s="10"/>
      <c r="Q487" s="10"/>
      <c r="R487" s="10"/>
      <c r="S487" s="16">
        <f>SUM(Table3[[#This Row],[Female ( age less than 17)]:[Male ( More than 18)2]])</f>
        <v>0</v>
      </c>
      <c r="T487" s="10"/>
      <c r="U487" s="10"/>
      <c r="V487" s="10"/>
      <c r="W487" s="10"/>
      <c r="X487" s="10"/>
      <c r="Z487" s="1"/>
      <c r="AB487" s="1"/>
      <c r="AF487" s="1"/>
      <c r="AJ487" s="1"/>
      <c r="AL487" s="1"/>
    </row>
    <row r="488" spans="1:38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1"/>
      <c r="M488" s="11"/>
      <c r="N488" s="14"/>
      <c r="O488" s="15"/>
      <c r="P488" s="10"/>
      <c r="Q488" s="10"/>
      <c r="R488" s="10"/>
      <c r="S488" s="16">
        <f>SUM(Table3[[#This Row],[Female ( age less than 17)]:[Male ( More than 18)2]])</f>
        <v>0</v>
      </c>
      <c r="T488" s="10"/>
      <c r="U488" s="10"/>
      <c r="V488" s="10"/>
      <c r="W488" s="10"/>
      <c r="X488" s="10"/>
      <c r="Z488" s="1"/>
      <c r="AB488" s="1"/>
      <c r="AF488" s="1"/>
      <c r="AJ488" s="1"/>
      <c r="AL488" s="1"/>
    </row>
    <row r="489" spans="1:38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1"/>
      <c r="M489" s="11"/>
      <c r="N489" s="14"/>
      <c r="O489" s="15"/>
      <c r="P489" s="10"/>
      <c r="Q489" s="10"/>
      <c r="R489" s="10"/>
      <c r="S489" s="16">
        <f>SUM(Table3[[#This Row],[Female ( age less than 17)]:[Male ( More than 18)2]])</f>
        <v>0</v>
      </c>
      <c r="T489" s="10"/>
      <c r="U489" s="10"/>
      <c r="V489" s="10"/>
      <c r="W489" s="10"/>
      <c r="X489" s="10"/>
      <c r="Z489" s="1"/>
      <c r="AB489" s="1"/>
      <c r="AF489" s="1"/>
      <c r="AJ489" s="1"/>
      <c r="AL489" s="1"/>
    </row>
    <row r="490" spans="1:38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1"/>
      <c r="M490" s="11"/>
      <c r="N490" s="14"/>
      <c r="O490" s="15"/>
      <c r="P490" s="10"/>
      <c r="Q490" s="10"/>
      <c r="R490" s="10"/>
      <c r="S490" s="16">
        <f>SUM(Table3[[#This Row],[Female ( age less than 17)]:[Male ( More than 18)2]])</f>
        <v>0</v>
      </c>
      <c r="T490" s="10"/>
      <c r="U490" s="10"/>
      <c r="V490" s="10"/>
      <c r="W490" s="10"/>
      <c r="X490" s="10"/>
      <c r="Z490" s="1"/>
      <c r="AB490" s="1"/>
      <c r="AF490" s="1"/>
      <c r="AJ490" s="1"/>
      <c r="AL490" s="1"/>
    </row>
    <row r="491" spans="1:38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1"/>
      <c r="M491" s="11"/>
      <c r="N491" s="14"/>
      <c r="O491" s="15"/>
      <c r="P491" s="10"/>
      <c r="Q491" s="10"/>
      <c r="R491" s="10"/>
      <c r="S491" s="16">
        <f>SUM(Table3[[#This Row],[Female ( age less than 17)]:[Male ( More than 18)2]])</f>
        <v>0</v>
      </c>
      <c r="T491" s="10"/>
      <c r="U491" s="10"/>
      <c r="V491" s="10"/>
      <c r="W491" s="10"/>
      <c r="X491" s="10"/>
      <c r="Z491" s="1"/>
      <c r="AB491" s="1"/>
      <c r="AF491" s="1"/>
      <c r="AJ491" s="1"/>
      <c r="AL491" s="1"/>
    </row>
    <row r="492" spans="1:38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1"/>
      <c r="M492" s="11"/>
      <c r="N492" s="14"/>
      <c r="O492" s="15"/>
      <c r="P492" s="10"/>
      <c r="Q492" s="10"/>
      <c r="R492" s="10"/>
      <c r="S492" s="16">
        <f>SUM(Table3[[#This Row],[Female ( age less than 17)]:[Male ( More than 18)2]])</f>
        <v>0</v>
      </c>
      <c r="T492" s="10"/>
      <c r="U492" s="10"/>
      <c r="V492" s="10"/>
      <c r="W492" s="10"/>
      <c r="X492" s="10"/>
      <c r="Z492" s="1"/>
      <c r="AB492" s="1"/>
      <c r="AF492" s="1"/>
      <c r="AJ492" s="1"/>
      <c r="AL492" s="1"/>
    </row>
    <row r="493" spans="1:38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1"/>
      <c r="M493" s="11"/>
      <c r="N493" s="14"/>
      <c r="O493" s="15"/>
      <c r="P493" s="10"/>
      <c r="Q493" s="10"/>
      <c r="R493" s="10"/>
      <c r="S493" s="16">
        <f>SUM(Table3[[#This Row],[Female ( age less than 17)]:[Male ( More than 18)2]])</f>
        <v>0</v>
      </c>
      <c r="T493" s="10"/>
      <c r="U493" s="10"/>
      <c r="V493" s="10"/>
      <c r="W493" s="10"/>
      <c r="X493" s="10"/>
      <c r="Z493" s="1"/>
      <c r="AB493" s="1"/>
      <c r="AF493" s="1"/>
      <c r="AJ493" s="1"/>
      <c r="AL493" s="1"/>
    </row>
    <row r="494" spans="1:38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1"/>
      <c r="M494" s="11"/>
      <c r="N494" s="14"/>
      <c r="O494" s="15"/>
      <c r="P494" s="10"/>
      <c r="Q494" s="10"/>
      <c r="R494" s="10"/>
      <c r="S494" s="16">
        <f>SUM(Table3[[#This Row],[Female ( age less than 17)]:[Male ( More than 18)2]])</f>
        <v>0</v>
      </c>
      <c r="T494" s="10"/>
      <c r="U494" s="10"/>
      <c r="V494" s="10"/>
      <c r="W494" s="10"/>
      <c r="X494" s="10"/>
      <c r="Z494" s="1"/>
      <c r="AB494" s="1"/>
      <c r="AF494" s="1"/>
      <c r="AJ494" s="1"/>
      <c r="AL494" s="1"/>
    </row>
    <row r="495" spans="1:38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1"/>
      <c r="M495" s="11"/>
      <c r="N495" s="14"/>
      <c r="O495" s="15"/>
      <c r="P495" s="10"/>
      <c r="Q495" s="10"/>
      <c r="R495" s="10"/>
      <c r="S495" s="16">
        <f>SUM(Table3[[#This Row],[Female ( age less than 17)]:[Male ( More than 18)2]])</f>
        <v>0</v>
      </c>
      <c r="T495" s="10"/>
      <c r="U495" s="10"/>
      <c r="V495" s="10"/>
      <c r="W495" s="10"/>
      <c r="X495" s="10"/>
      <c r="Z495" s="1"/>
      <c r="AB495" s="1"/>
      <c r="AF495" s="1"/>
      <c r="AJ495" s="1"/>
      <c r="AL495" s="1"/>
    </row>
    <row r="496" spans="1:38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1"/>
      <c r="M496" s="11"/>
      <c r="N496" s="14"/>
      <c r="O496" s="15"/>
      <c r="P496" s="10"/>
      <c r="Q496" s="10"/>
      <c r="R496" s="10"/>
      <c r="S496" s="16">
        <f>SUM(Table3[[#This Row],[Female ( age less than 17)]:[Male ( More than 18)2]])</f>
        <v>0</v>
      </c>
      <c r="T496" s="10"/>
      <c r="U496" s="10"/>
      <c r="V496" s="10"/>
      <c r="W496" s="10"/>
      <c r="X496" s="10"/>
      <c r="Z496" s="1"/>
      <c r="AB496" s="1"/>
      <c r="AF496" s="1"/>
      <c r="AJ496" s="1"/>
      <c r="AL496" s="1"/>
    </row>
    <row r="497" spans="1:38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1"/>
      <c r="M497" s="11"/>
      <c r="N497" s="14"/>
      <c r="O497" s="15"/>
      <c r="P497" s="10"/>
      <c r="Q497" s="10"/>
      <c r="R497" s="10"/>
      <c r="S497" s="16">
        <f>SUM(Table3[[#This Row],[Female ( age less than 17)]:[Male ( More than 18)2]])</f>
        <v>0</v>
      </c>
      <c r="T497" s="10"/>
      <c r="U497" s="10"/>
      <c r="V497" s="10"/>
      <c r="W497" s="10"/>
      <c r="X497" s="10"/>
      <c r="Z497" s="1"/>
      <c r="AB497" s="1"/>
      <c r="AF497" s="1"/>
      <c r="AJ497" s="1"/>
      <c r="AL497" s="1"/>
    </row>
    <row r="498" spans="1:38" x14ac:dyDescent="0.25">
      <c r="N498" s="4"/>
      <c r="O498" s="5"/>
      <c r="P498" s="2"/>
      <c r="Q498" s="2"/>
      <c r="R498" s="2"/>
      <c r="S498" s="6">
        <f>SUM(Table3[[#This Row],[Female ( age less than 17)]:[Male ( More than 18)2]])</f>
        <v>0</v>
      </c>
      <c r="T498" s="2"/>
      <c r="U498" s="2"/>
      <c r="V498" s="2"/>
      <c r="W498" s="2"/>
      <c r="X498" s="2"/>
      <c r="Z498" s="1"/>
      <c r="AB498" s="1"/>
      <c r="AF498" s="1"/>
      <c r="AJ498" s="1"/>
      <c r="AL498" s="1"/>
    </row>
    <row r="499" spans="1:38" x14ac:dyDescent="0.25">
      <c r="N499" s="4"/>
      <c r="O499" s="5"/>
      <c r="P499" s="2"/>
      <c r="Q499" s="2"/>
      <c r="R499" s="2"/>
      <c r="S499" s="6">
        <f>SUM(Table3[[#This Row],[Female ( age less than 17)]:[Male ( More than 18)2]])</f>
        <v>0</v>
      </c>
      <c r="T499" s="2"/>
      <c r="U499" s="2"/>
      <c r="V499" s="2"/>
      <c r="W499" s="2"/>
      <c r="X499" s="2"/>
      <c r="Z499" s="1"/>
      <c r="AB499" s="1"/>
      <c r="AF499" s="1"/>
      <c r="AJ499" s="1"/>
      <c r="AL499" s="1"/>
    </row>
    <row r="500" spans="1:38" x14ac:dyDescent="0.25">
      <c r="N500" s="4"/>
      <c r="O500" s="5"/>
      <c r="P500" s="2"/>
      <c r="Q500" s="2"/>
      <c r="R500" s="2"/>
      <c r="S500" s="6">
        <f>SUM(Table3[[#This Row],[Female ( age less than 17)]:[Male ( More than 18)2]])</f>
        <v>0</v>
      </c>
      <c r="T500" s="2"/>
      <c r="U500" s="2"/>
      <c r="V500" s="2"/>
      <c r="W500" s="2"/>
      <c r="X500" s="2"/>
      <c r="Z500" s="1"/>
      <c r="AB500" s="1"/>
      <c r="AF500" s="1"/>
      <c r="AJ500" s="1"/>
      <c r="AL500" s="1"/>
    </row>
    <row r="501" spans="1:38" x14ac:dyDescent="0.25">
      <c r="N501" s="4"/>
      <c r="O501" s="5"/>
      <c r="P501" s="2"/>
      <c r="Q501" s="2"/>
      <c r="R501" s="2"/>
      <c r="S501" s="6">
        <f>SUM(Table3[[#This Row],[Female ( age less than 17)]:[Male ( More than 18)2]])</f>
        <v>0</v>
      </c>
      <c r="T501" s="2"/>
      <c r="U501" s="2"/>
      <c r="V501" s="2"/>
      <c r="W501" s="2"/>
      <c r="X501" s="2"/>
      <c r="Z501" s="1"/>
      <c r="AB501" s="1"/>
      <c r="AF501" s="1"/>
      <c r="AJ501" s="1"/>
      <c r="AL501" s="1"/>
    </row>
    <row r="502" spans="1:38" x14ac:dyDescent="0.25">
      <c r="N502" s="4"/>
      <c r="O502" s="5"/>
      <c r="P502" s="2"/>
      <c r="Q502" s="2"/>
      <c r="R502" s="2"/>
      <c r="S502" s="6">
        <f>SUM(Table3[[#This Row],[Female ( age less than 17)]:[Male ( More than 18)2]])</f>
        <v>0</v>
      </c>
      <c r="T502" s="2"/>
      <c r="U502" s="2"/>
      <c r="V502" s="2"/>
      <c r="W502" s="2"/>
      <c r="X502" s="2"/>
      <c r="Z502" s="1"/>
      <c r="AB502" s="1"/>
      <c r="AF502" s="1"/>
      <c r="AJ502" s="1"/>
      <c r="AL502" s="1"/>
    </row>
    <row r="503" spans="1:38" x14ac:dyDescent="0.25">
      <c r="N503" s="7">
        <f>SUBTOTAL(103,Table3[Contact Number])</f>
        <v>0</v>
      </c>
      <c r="O503" s="2">
        <f>SUBTOTAL(103,Table3[Current Place of Residence])</f>
        <v>0</v>
      </c>
      <c r="P503" s="2">
        <f>SUBTOTAL(103,Table3[Origin])</f>
        <v>0</v>
      </c>
      <c r="Q503" s="2"/>
      <c r="R503" s="2"/>
      <c r="S503" s="7">
        <f>SUBTOTAL(109,Table3[Family Size (Including Head of HH)])</f>
        <v>0</v>
      </c>
      <c r="T503" s="7">
        <f>SUBTOTAL(109,Table3[Female ( age less than 17)])</f>
        <v>0</v>
      </c>
      <c r="U503" s="7">
        <f>SUBTOTAL(109,Table3[Female (more than 18)])</f>
        <v>0</v>
      </c>
      <c r="V503" s="7">
        <f>SUBTOTAL(109,Table3[Male ( Less than 18)])</f>
        <v>0</v>
      </c>
      <c r="W503" s="7">
        <f>SUBTOTAL(109,Table3[Male ( More than 18)2])</f>
        <v>0</v>
      </c>
      <c r="X503" s="7"/>
      <c r="Z503" s="1"/>
      <c r="AB503" s="1"/>
      <c r="AF503" s="1"/>
      <c r="AJ503" s="1"/>
      <c r="AL503" s="1"/>
    </row>
    <row r="507" spans="1:38" x14ac:dyDescent="0.25">
      <c r="N507" s="9" t="s">
        <v>5</v>
      </c>
    </row>
    <row r="508" spans="1:38" x14ac:dyDescent="0.25">
      <c r="N508" s="9"/>
    </row>
    <row r="509" spans="1:38" x14ac:dyDescent="0.25">
      <c r="N509" s="9"/>
    </row>
  </sheetData>
  <mergeCells count="1">
    <mergeCell ref="A1:X1"/>
  </mergeCells>
  <phoneticPr fontId="10" type="noConversion"/>
  <printOptions horizontalCentered="1"/>
  <pageMargins left="0.19685039370078741" right="0.19685039370078741" top="0.19685039370078741" bottom="0.19685039370078741" header="0.19685039370078741" footer="0.19685039370078741"/>
  <pageSetup paperSize="9" scale="85" orientation="landscape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96A72-2BFB-47A5-BE3C-0327C876547D}">
  <dimension ref="A1:AL509"/>
  <sheetViews>
    <sheetView tabSelected="1" workbookViewId="0">
      <selection activeCell="K5" sqref="K5"/>
    </sheetView>
  </sheetViews>
  <sheetFormatPr defaultColWidth="9.109375" defaultRowHeight="14.4" x14ac:dyDescent="0.25"/>
  <cols>
    <col min="1" max="7" width="9.109375" style="2"/>
    <col min="8" max="8" width="16" style="2" customWidth="1"/>
    <col min="9" max="11" width="21.109375" style="2" customWidth="1"/>
    <col min="12" max="12" width="21.6640625" style="1" customWidth="1"/>
    <col min="13" max="13" width="10.6640625" style="1" bestFit="1" customWidth="1"/>
    <col min="14" max="14" width="13.109375" style="1" customWidth="1"/>
    <col min="15" max="15" width="23.6640625" style="4" customWidth="1"/>
    <col min="16" max="18" width="8.88671875" style="1" customWidth="1"/>
    <col min="19" max="19" width="15.77734375" style="4" customWidth="1"/>
    <col min="20" max="20" width="15.77734375" style="1" customWidth="1"/>
    <col min="21" max="21" width="15.77734375" style="8" customWidth="1"/>
    <col min="22" max="22" width="15.77734375" style="1" customWidth="1"/>
    <col min="23" max="24" width="15.77734375" style="8" customWidth="1"/>
    <col min="25" max="25" width="9.109375" style="1"/>
    <col min="26" max="26" width="9.33203125" style="8" customWidth="1"/>
    <col min="27" max="27" width="9.109375" style="1"/>
    <col min="28" max="28" width="9.33203125" style="8" customWidth="1"/>
    <col min="29" max="29" width="9.109375" style="1"/>
    <col min="30" max="30" width="9.33203125" style="1" customWidth="1"/>
    <col min="31" max="31" width="9.109375" style="1"/>
    <col min="32" max="32" width="14.109375" style="8" customWidth="1"/>
    <col min="33" max="33" width="9.109375" style="1"/>
    <col min="34" max="34" width="21.109375" style="1" customWidth="1"/>
    <col min="35" max="35" width="9.109375" style="1"/>
    <col min="36" max="36" width="18.6640625" style="4" customWidth="1"/>
    <col min="37" max="37" width="9.109375" style="1"/>
    <col min="38" max="38" width="22.33203125" style="4" bestFit="1" customWidth="1"/>
    <col min="39" max="39" width="19" style="1" customWidth="1"/>
    <col min="40" max="41" width="9.109375" style="1"/>
    <col min="42" max="55" width="14.109375" style="1" customWidth="1"/>
    <col min="56" max="16384" width="9.109375" style="1"/>
  </cols>
  <sheetData>
    <row r="1" spans="1:38" ht="43.2" customHeight="1" x14ac:dyDescent="0.25">
      <c r="A1" s="19" t="s">
        <v>14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Z1" s="1"/>
      <c r="AB1" s="1"/>
      <c r="AF1" s="1"/>
      <c r="AJ1" s="1"/>
      <c r="AL1" s="1"/>
    </row>
    <row r="2" spans="1:38" s="3" customFormat="1" ht="82.8" x14ac:dyDescent="0.3">
      <c r="A2" s="17" t="s">
        <v>6</v>
      </c>
      <c r="B2" s="17" t="s">
        <v>22</v>
      </c>
      <c r="C2" s="17" t="s">
        <v>15</v>
      </c>
      <c r="D2" s="17" t="s">
        <v>16</v>
      </c>
      <c r="E2" s="17" t="s">
        <v>17</v>
      </c>
      <c r="F2" s="17" t="s">
        <v>21</v>
      </c>
      <c r="G2" s="17" t="s">
        <v>18</v>
      </c>
      <c r="H2" s="17" t="s">
        <v>7</v>
      </c>
      <c r="I2" s="17" t="s">
        <v>23</v>
      </c>
      <c r="J2" s="17" t="s">
        <v>31</v>
      </c>
      <c r="K2" s="17" t="s">
        <v>32</v>
      </c>
      <c r="L2" s="17" t="s">
        <v>8</v>
      </c>
      <c r="M2" s="17" t="s">
        <v>9</v>
      </c>
      <c r="N2" s="18" t="s">
        <v>2</v>
      </c>
      <c r="O2" s="18" t="s">
        <v>4</v>
      </c>
      <c r="P2" s="18" t="s">
        <v>3</v>
      </c>
      <c r="Q2" s="18" t="s">
        <v>19</v>
      </c>
      <c r="R2" s="18" t="s">
        <v>20</v>
      </c>
      <c r="S2" s="18" t="s">
        <v>1</v>
      </c>
      <c r="T2" s="18" t="s">
        <v>10</v>
      </c>
      <c r="U2" s="18" t="s">
        <v>11</v>
      </c>
      <c r="V2" s="18" t="s">
        <v>13</v>
      </c>
      <c r="W2" s="18" t="s">
        <v>12</v>
      </c>
      <c r="X2" s="18" t="s">
        <v>0</v>
      </c>
    </row>
    <row r="3" spans="1:38" ht="13.8" x14ac:dyDescent="0.25">
      <c r="A3" s="10"/>
      <c r="B3" s="10"/>
      <c r="C3" s="10"/>
      <c r="D3" s="10"/>
      <c r="E3" s="10"/>
      <c r="F3" s="10"/>
      <c r="G3" s="10"/>
      <c r="H3" s="10"/>
      <c r="I3" s="10" t="s">
        <v>24</v>
      </c>
      <c r="J3" s="10"/>
      <c r="K3" s="10" t="s">
        <v>34</v>
      </c>
      <c r="L3" s="11"/>
      <c r="M3" s="11"/>
      <c r="N3" s="12"/>
      <c r="O3" s="12"/>
      <c r="P3" s="10"/>
      <c r="Q3" s="10"/>
      <c r="R3" s="10"/>
      <c r="S3" s="13">
        <f>SUM(Table32[[#This Row],[Female ( age less than 17)]:[Male ( More than 18)2]])</f>
        <v>0</v>
      </c>
      <c r="T3" s="10"/>
      <c r="U3" s="10"/>
      <c r="V3" s="10"/>
      <c r="W3" s="10"/>
      <c r="X3" s="10" t="s">
        <v>33</v>
      </c>
      <c r="Z3" s="1"/>
      <c r="AB3" s="1"/>
      <c r="AF3" s="1"/>
      <c r="AJ3" s="1"/>
      <c r="AL3" s="1"/>
    </row>
    <row r="4" spans="1:38" ht="13.8" x14ac:dyDescent="0.25">
      <c r="A4" s="10"/>
      <c r="B4" s="10"/>
      <c r="C4" s="10"/>
      <c r="D4" s="10"/>
      <c r="E4" s="10"/>
      <c r="F4" s="10"/>
      <c r="G4" s="10"/>
      <c r="H4" s="10"/>
      <c r="I4" s="10" t="s">
        <v>25</v>
      </c>
      <c r="J4" s="10"/>
      <c r="K4" s="10" t="s">
        <v>36</v>
      </c>
      <c r="L4" s="11"/>
      <c r="M4" s="11"/>
      <c r="N4" s="12"/>
      <c r="O4" s="12"/>
      <c r="P4" s="10"/>
      <c r="Q4" s="10"/>
      <c r="R4" s="10"/>
      <c r="S4" s="13">
        <f>SUM(Table32[[#This Row],[Female ( age less than 17)]:[Male ( More than 18)2]])</f>
        <v>0</v>
      </c>
      <c r="T4" s="10"/>
      <c r="U4" s="10"/>
      <c r="V4" s="10"/>
      <c r="W4" s="10"/>
      <c r="X4" s="10"/>
      <c r="Z4" s="1"/>
      <c r="AB4" s="1"/>
      <c r="AF4" s="1"/>
      <c r="AJ4" s="1"/>
      <c r="AL4" s="1"/>
    </row>
    <row r="5" spans="1:38" ht="13.8" x14ac:dyDescent="0.25">
      <c r="A5" s="10"/>
      <c r="B5" s="10"/>
      <c r="C5" s="10"/>
      <c r="D5" s="10"/>
      <c r="E5" s="10"/>
      <c r="F5" s="10"/>
      <c r="G5" s="10"/>
      <c r="H5" s="10"/>
      <c r="I5" s="10" t="s">
        <v>26</v>
      </c>
      <c r="J5" s="10"/>
      <c r="K5" s="10"/>
      <c r="L5" s="11"/>
      <c r="M5" s="11"/>
      <c r="N5" s="12"/>
      <c r="O5" s="12"/>
      <c r="P5" s="10"/>
      <c r="Q5" s="10"/>
      <c r="R5" s="10"/>
      <c r="S5" s="13">
        <f>SUM(Table32[[#This Row],[Female ( age less than 17)]:[Male ( More than 18)2]])</f>
        <v>0</v>
      </c>
      <c r="T5" s="10"/>
      <c r="U5" s="10"/>
      <c r="V5" s="10"/>
      <c r="W5" s="10"/>
      <c r="X5" s="10"/>
      <c r="Z5" s="1"/>
      <c r="AB5" s="1"/>
      <c r="AF5" s="1"/>
      <c r="AJ5" s="1"/>
      <c r="AL5" s="1"/>
    </row>
    <row r="6" spans="1:38" ht="13.8" x14ac:dyDescent="0.25">
      <c r="A6" s="10"/>
      <c r="B6" s="10"/>
      <c r="C6" s="10"/>
      <c r="D6" s="10"/>
      <c r="E6" s="10"/>
      <c r="F6" s="10"/>
      <c r="G6" s="10"/>
      <c r="H6" s="10"/>
      <c r="I6" s="10" t="s">
        <v>27</v>
      </c>
      <c r="J6" s="10"/>
      <c r="K6" s="10"/>
      <c r="L6" s="11"/>
      <c r="M6" s="11"/>
      <c r="N6" s="12"/>
      <c r="O6" s="12"/>
      <c r="P6" s="10"/>
      <c r="Q6" s="10"/>
      <c r="R6" s="10"/>
      <c r="S6" s="13">
        <f>SUM(Table32[[#This Row],[Female ( age less than 17)]:[Male ( More than 18)2]])</f>
        <v>0</v>
      </c>
      <c r="T6" s="10"/>
      <c r="U6" s="10"/>
      <c r="V6" s="10"/>
      <c r="W6" s="10"/>
      <c r="X6" s="10"/>
      <c r="Z6" s="1"/>
      <c r="AB6" s="1"/>
      <c r="AF6" s="1"/>
      <c r="AJ6" s="1"/>
      <c r="AL6" s="1"/>
    </row>
    <row r="7" spans="1:38" ht="13.8" x14ac:dyDescent="0.25">
      <c r="A7" s="10"/>
      <c r="B7" s="10"/>
      <c r="C7" s="10"/>
      <c r="D7" s="10"/>
      <c r="E7" s="10"/>
      <c r="F7" s="10"/>
      <c r="G7" s="10"/>
      <c r="H7" s="10"/>
      <c r="I7" s="10" t="s">
        <v>28</v>
      </c>
      <c r="J7" s="10"/>
      <c r="K7" s="10"/>
      <c r="L7" s="11"/>
      <c r="M7" s="11"/>
      <c r="N7" s="12"/>
      <c r="O7" s="12"/>
      <c r="P7" s="10"/>
      <c r="Q7" s="10"/>
      <c r="R7" s="10"/>
      <c r="S7" s="13">
        <f>SUM(Table32[[#This Row],[Female ( age less than 17)]:[Male ( More than 18)2]])</f>
        <v>0</v>
      </c>
      <c r="T7" s="10"/>
      <c r="U7" s="10"/>
      <c r="V7" s="10"/>
      <c r="W7" s="10"/>
      <c r="X7" s="10"/>
      <c r="Z7" s="1"/>
      <c r="AB7" s="1"/>
      <c r="AF7" s="1"/>
      <c r="AJ7" s="1"/>
      <c r="AL7" s="1"/>
    </row>
    <row r="8" spans="1:38" ht="13.8" x14ac:dyDescent="0.25">
      <c r="A8" s="10"/>
      <c r="B8" s="10"/>
      <c r="C8" s="10"/>
      <c r="D8" s="10"/>
      <c r="E8" s="10"/>
      <c r="F8" s="10"/>
      <c r="G8" s="10"/>
      <c r="H8" s="10"/>
      <c r="I8" s="10" t="s">
        <v>29</v>
      </c>
      <c r="J8" s="10"/>
      <c r="K8" s="10" t="s">
        <v>37</v>
      </c>
      <c r="L8" s="11"/>
      <c r="M8" s="11"/>
      <c r="N8" s="12"/>
      <c r="O8" s="12"/>
      <c r="P8" s="10"/>
      <c r="Q8" s="10"/>
      <c r="R8" s="10"/>
      <c r="S8" s="13">
        <f>SUM(Table32[[#This Row],[Female ( age less than 17)]:[Male ( More than 18)2]])</f>
        <v>0</v>
      </c>
      <c r="T8" s="10"/>
      <c r="U8" s="10"/>
      <c r="V8" s="10"/>
      <c r="W8" s="10"/>
      <c r="X8" s="10"/>
      <c r="Z8" s="1"/>
      <c r="AB8" s="1"/>
      <c r="AF8" s="1"/>
      <c r="AJ8" s="1"/>
      <c r="AL8" s="1"/>
    </row>
    <row r="9" spans="1:38" ht="13.8" x14ac:dyDescent="0.25">
      <c r="A9" s="10"/>
      <c r="B9" s="10"/>
      <c r="C9" s="10"/>
      <c r="D9" s="10"/>
      <c r="E9" s="10"/>
      <c r="F9" s="10"/>
      <c r="G9" s="10"/>
      <c r="H9" s="10"/>
      <c r="I9" s="10" t="s">
        <v>30</v>
      </c>
      <c r="J9" s="10"/>
      <c r="K9" s="10" t="s">
        <v>38</v>
      </c>
      <c r="L9" s="11"/>
      <c r="M9" s="11"/>
      <c r="N9" s="12"/>
      <c r="O9" s="12"/>
      <c r="P9" s="10"/>
      <c r="Q9" s="10"/>
      <c r="R9" s="10"/>
      <c r="S9" s="13">
        <f>SUM(Table32[[#This Row],[Female ( age less than 17)]:[Male ( More than 18)2]])</f>
        <v>0</v>
      </c>
      <c r="T9" s="10"/>
      <c r="U9" s="10"/>
      <c r="V9" s="10"/>
      <c r="W9" s="10"/>
      <c r="X9" s="10"/>
      <c r="Z9" s="1"/>
      <c r="AB9" s="1"/>
      <c r="AF9" s="1"/>
      <c r="AJ9" s="1"/>
      <c r="AL9" s="1"/>
    </row>
    <row r="10" spans="1:38" ht="13.8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1"/>
      <c r="M10" s="11"/>
      <c r="N10" s="12"/>
      <c r="O10" s="12"/>
      <c r="P10" s="10"/>
      <c r="Q10" s="10"/>
      <c r="R10" s="10"/>
      <c r="S10" s="13">
        <f>SUM(Table32[[#This Row],[Female ( age less than 17)]:[Male ( More than 18)2]])</f>
        <v>0</v>
      </c>
      <c r="T10" s="10"/>
      <c r="U10" s="10"/>
      <c r="V10" s="10"/>
      <c r="W10" s="10"/>
      <c r="X10" s="10"/>
      <c r="Z10" s="1"/>
      <c r="AB10" s="1"/>
      <c r="AF10" s="1"/>
      <c r="AJ10" s="1"/>
      <c r="AL10" s="1"/>
    </row>
    <row r="11" spans="1:38" ht="13.8" x14ac:dyDescent="0.25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1"/>
      <c r="M11" s="11"/>
      <c r="N11" s="12"/>
      <c r="O11" s="12"/>
      <c r="P11" s="10"/>
      <c r="Q11" s="10"/>
      <c r="R11" s="10"/>
      <c r="S11" s="13">
        <f>SUM(Table32[[#This Row],[Female ( age less than 17)]:[Male ( More than 18)2]])</f>
        <v>0</v>
      </c>
      <c r="T11" s="10"/>
      <c r="U11" s="10"/>
      <c r="V11" s="10"/>
      <c r="W11" s="10"/>
      <c r="X11" s="10"/>
      <c r="Z11" s="1"/>
      <c r="AB11" s="1"/>
      <c r="AF11" s="1"/>
      <c r="AJ11" s="1"/>
      <c r="AL11" s="1"/>
    </row>
    <row r="12" spans="1:38" ht="13.8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1"/>
      <c r="M12" s="11"/>
      <c r="N12" s="12"/>
      <c r="O12" s="12"/>
      <c r="P12" s="10"/>
      <c r="Q12" s="10"/>
      <c r="R12" s="10"/>
      <c r="S12" s="13">
        <f>SUM(Table32[[#This Row],[Female ( age less than 17)]:[Male ( More than 18)2]])</f>
        <v>0</v>
      </c>
      <c r="T12" s="10"/>
      <c r="U12" s="10"/>
      <c r="V12" s="10"/>
      <c r="W12" s="10"/>
      <c r="X12" s="10"/>
      <c r="Z12" s="1"/>
      <c r="AB12" s="1"/>
      <c r="AF12" s="1"/>
      <c r="AJ12" s="1"/>
      <c r="AL12" s="1"/>
    </row>
    <row r="13" spans="1:38" ht="13.8" x14ac:dyDescent="0.25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1"/>
      <c r="M13" s="11"/>
      <c r="N13" s="12"/>
      <c r="O13" s="12"/>
      <c r="P13" s="10"/>
      <c r="Q13" s="10"/>
      <c r="R13" s="10"/>
      <c r="S13" s="13">
        <f>SUM(Table32[[#This Row],[Female ( age less than 17)]:[Male ( More than 18)2]])</f>
        <v>0</v>
      </c>
      <c r="T13" s="10"/>
      <c r="U13" s="10"/>
      <c r="V13" s="10"/>
      <c r="W13" s="10"/>
      <c r="X13" s="10"/>
      <c r="Z13" s="1"/>
      <c r="AB13" s="1"/>
      <c r="AF13" s="1"/>
      <c r="AJ13" s="1"/>
      <c r="AL13" s="1"/>
    </row>
    <row r="14" spans="1:38" ht="13.8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1"/>
      <c r="M14" s="11"/>
      <c r="N14" s="12"/>
      <c r="O14" s="12"/>
      <c r="P14" s="10"/>
      <c r="Q14" s="10"/>
      <c r="R14" s="10"/>
      <c r="S14" s="13">
        <f>SUM(Table32[[#This Row],[Female ( age less than 17)]:[Male ( More than 18)2]])</f>
        <v>0</v>
      </c>
      <c r="T14" s="10"/>
      <c r="U14" s="10"/>
      <c r="V14" s="10"/>
      <c r="W14" s="10"/>
      <c r="X14" s="10"/>
      <c r="Z14" s="1"/>
      <c r="AB14" s="1"/>
      <c r="AF14" s="1"/>
      <c r="AJ14" s="1"/>
      <c r="AL14" s="1"/>
    </row>
    <row r="15" spans="1:38" ht="13.8" x14ac:dyDescent="0.25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1"/>
      <c r="M15" s="11"/>
      <c r="N15" s="12"/>
      <c r="O15" s="12"/>
      <c r="P15" s="10"/>
      <c r="Q15" s="10"/>
      <c r="R15" s="10"/>
      <c r="S15" s="13">
        <f>SUM(Table32[[#This Row],[Female ( age less than 17)]:[Male ( More than 18)2]])</f>
        <v>0</v>
      </c>
      <c r="T15" s="10"/>
      <c r="U15" s="10"/>
      <c r="V15" s="10"/>
      <c r="W15" s="10"/>
      <c r="X15" s="10"/>
      <c r="Z15" s="1"/>
      <c r="AB15" s="1"/>
      <c r="AF15" s="1"/>
      <c r="AJ15" s="1"/>
      <c r="AL15" s="1"/>
    </row>
    <row r="16" spans="1:38" ht="13.8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1"/>
      <c r="M16" s="11"/>
      <c r="N16" s="12"/>
      <c r="O16" s="12"/>
      <c r="P16" s="10"/>
      <c r="Q16" s="10"/>
      <c r="R16" s="10"/>
      <c r="S16" s="13">
        <f>SUM(Table32[[#This Row],[Female ( age less than 17)]:[Male ( More than 18)2]])</f>
        <v>0</v>
      </c>
      <c r="T16" s="10"/>
      <c r="U16" s="10"/>
      <c r="V16" s="10"/>
      <c r="W16" s="10"/>
      <c r="X16" s="10"/>
      <c r="Z16" s="1"/>
      <c r="AB16" s="1"/>
      <c r="AF16" s="1"/>
      <c r="AJ16" s="1"/>
      <c r="AL16" s="1"/>
    </row>
    <row r="17" spans="1:38" ht="13.8" x14ac:dyDescent="0.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1"/>
      <c r="M17" s="11"/>
      <c r="N17" s="12"/>
      <c r="O17" s="12"/>
      <c r="P17" s="10"/>
      <c r="Q17" s="10"/>
      <c r="R17" s="10"/>
      <c r="S17" s="13">
        <f>SUM(Table32[[#This Row],[Female ( age less than 17)]:[Male ( More than 18)2]])</f>
        <v>0</v>
      </c>
      <c r="T17" s="10"/>
      <c r="U17" s="10"/>
      <c r="V17" s="10"/>
      <c r="W17" s="10"/>
      <c r="X17" s="10"/>
      <c r="Z17" s="1"/>
      <c r="AB17" s="1"/>
      <c r="AF17" s="1"/>
      <c r="AJ17" s="1"/>
      <c r="AL17" s="1"/>
    </row>
    <row r="18" spans="1:38" ht="13.8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1"/>
      <c r="M18" s="11"/>
      <c r="N18" s="12"/>
      <c r="O18" s="12"/>
      <c r="P18" s="10"/>
      <c r="Q18" s="10"/>
      <c r="R18" s="10"/>
      <c r="S18" s="13">
        <f>SUM(Table32[[#This Row],[Female ( age less than 17)]:[Male ( More than 18)2]])</f>
        <v>0</v>
      </c>
      <c r="T18" s="10"/>
      <c r="U18" s="10"/>
      <c r="V18" s="10"/>
      <c r="W18" s="10"/>
      <c r="X18" s="10"/>
      <c r="Z18" s="1"/>
      <c r="AB18" s="1"/>
      <c r="AF18" s="1"/>
      <c r="AJ18" s="1"/>
      <c r="AL18" s="1"/>
    </row>
    <row r="19" spans="1:38" ht="13.8" x14ac:dyDescent="0.25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1"/>
      <c r="M19" s="11"/>
      <c r="N19" s="12"/>
      <c r="O19" s="12"/>
      <c r="P19" s="10"/>
      <c r="Q19" s="10"/>
      <c r="R19" s="10"/>
      <c r="S19" s="13">
        <f>SUM(Table32[[#This Row],[Female ( age less than 17)]:[Male ( More than 18)2]])</f>
        <v>0</v>
      </c>
      <c r="T19" s="10"/>
      <c r="U19" s="10"/>
      <c r="V19" s="10"/>
      <c r="W19" s="10"/>
      <c r="X19" s="10"/>
      <c r="Z19" s="1"/>
      <c r="AB19" s="1"/>
      <c r="AF19" s="1"/>
      <c r="AJ19" s="1"/>
      <c r="AL19" s="1"/>
    </row>
    <row r="20" spans="1:38" ht="13.8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1"/>
      <c r="M20" s="11"/>
      <c r="N20" s="12"/>
      <c r="O20" s="12"/>
      <c r="P20" s="10"/>
      <c r="Q20" s="10"/>
      <c r="R20" s="10"/>
      <c r="S20" s="13">
        <f>SUM(Table32[[#This Row],[Female ( age less than 17)]:[Male ( More than 18)2]])</f>
        <v>0</v>
      </c>
      <c r="T20" s="10"/>
      <c r="U20" s="10"/>
      <c r="V20" s="10"/>
      <c r="W20" s="10"/>
      <c r="X20" s="10"/>
      <c r="Z20" s="1"/>
      <c r="AB20" s="1"/>
      <c r="AF20" s="1"/>
      <c r="AJ20" s="1"/>
      <c r="AL20" s="1"/>
    </row>
    <row r="21" spans="1:38" ht="13.8" x14ac:dyDescent="0.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1"/>
      <c r="M21" s="11"/>
      <c r="N21" s="12"/>
      <c r="O21" s="12"/>
      <c r="P21" s="10"/>
      <c r="Q21" s="10"/>
      <c r="R21" s="10"/>
      <c r="S21" s="13">
        <f>SUM(Table32[[#This Row],[Female ( age less than 17)]:[Male ( More than 18)2]])</f>
        <v>0</v>
      </c>
      <c r="T21" s="10"/>
      <c r="U21" s="10"/>
      <c r="V21" s="10"/>
      <c r="W21" s="10"/>
      <c r="X21" s="10"/>
      <c r="Z21" s="1"/>
      <c r="AB21" s="1"/>
      <c r="AF21" s="1"/>
      <c r="AJ21" s="1"/>
      <c r="AL21" s="1"/>
    </row>
    <row r="22" spans="1:38" ht="13.8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1"/>
      <c r="M22" s="11"/>
      <c r="N22" s="12"/>
      <c r="O22" s="12"/>
      <c r="P22" s="10"/>
      <c r="Q22" s="10"/>
      <c r="R22" s="10"/>
      <c r="S22" s="13">
        <f>SUM(Table32[[#This Row],[Female ( age less than 17)]:[Male ( More than 18)2]])</f>
        <v>0</v>
      </c>
      <c r="T22" s="10"/>
      <c r="U22" s="10"/>
      <c r="V22" s="10"/>
      <c r="W22" s="10"/>
      <c r="X22" s="10"/>
      <c r="Z22" s="1"/>
      <c r="AB22" s="1"/>
      <c r="AF22" s="1"/>
      <c r="AJ22" s="1"/>
      <c r="AL22" s="1"/>
    </row>
    <row r="23" spans="1:38" ht="13.8" x14ac:dyDescent="0.25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1"/>
      <c r="M23" s="11"/>
      <c r="N23" s="12"/>
      <c r="O23" s="12"/>
      <c r="P23" s="10"/>
      <c r="Q23" s="10"/>
      <c r="R23" s="10"/>
      <c r="S23" s="13">
        <f>SUM(Table32[[#This Row],[Female ( age less than 17)]:[Male ( More than 18)2]])</f>
        <v>0</v>
      </c>
      <c r="T23" s="10"/>
      <c r="U23" s="10"/>
      <c r="V23" s="10"/>
      <c r="W23" s="10"/>
      <c r="X23" s="10"/>
      <c r="Z23" s="1"/>
      <c r="AB23" s="1"/>
      <c r="AF23" s="1"/>
      <c r="AJ23" s="1"/>
      <c r="AL23" s="1"/>
    </row>
    <row r="24" spans="1:38" ht="13.8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1"/>
      <c r="M24" s="11"/>
      <c r="N24" s="12"/>
      <c r="O24" s="12"/>
      <c r="P24" s="10"/>
      <c r="Q24" s="10"/>
      <c r="R24" s="10"/>
      <c r="S24" s="13">
        <f>SUM(Table32[[#This Row],[Female ( age less than 17)]:[Male ( More than 18)2]])</f>
        <v>0</v>
      </c>
      <c r="T24" s="10"/>
      <c r="U24" s="10"/>
      <c r="V24" s="10"/>
      <c r="W24" s="10"/>
      <c r="X24" s="10"/>
      <c r="Z24" s="1"/>
      <c r="AB24" s="1"/>
      <c r="AF24" s="1"/>
      <c r="AJ24" s="1"/>
      <c r="AL24" s="1"/>
    </row>
    <row r="25" spans="1:38" ht="13.8" x14ac:dyDescent="0.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1"/>
      <c r="M25" s="11"/>
      <c r="N25" s="12"/>
      <c r="O25" s="12"/>
      <c r="P25" s="10"/>
      <c r="Q25" s="10"/>
      <c r="R25" s="10"/>
      <c r="S25" s="13">
        <f>SUM(Table32[[#This Row],[Female ( age less than 17)]:[Male ( More than 18)2]])</f>
        <v>0</v>
      </c>
      <c r="T25" s="10"/>
      <c r="U25" s="10"/>
      <c r="V25" s="10"/>
      <c r="W25" s="10"/>
      <c r="X25" s="10"/>
      <c r="Z25" s="1"/>
      <c r="AB25" s="1"/>
      <c r="AF25" s="1"/>
      <c r="AJ25" s="1"/>
      <c r="AL25" s="1"/>
    </row>
    <row r="26" spans="1:38" ht="13.8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1"/>
      <c r="M26" s="11"/>
      <c r="N26" s="12"/>
      <c r="O26" s="12"/>
      <c r="P26" s="10"/>
      <c r="Q26" s="10"/>
      <c r="R26" s="10"/>
      <c r="S26" s="13">
        <f>SUM(Table32[[#This Row],[Female ( age less than 17)]:[Male ( More than 18)2]])</f>
        <v>0</v>
      </c>
      <c r="T26" s="10"/>
      <c r="U26" s="10"/>
      <c r="V26" s="10"/>
      <c r="W26" s="10"/>
      <c r="X26" s="10"/>
      <c r="Z26" s="1"/>
      <c r="AB26" s="1"/>
      <c r="AF26" s="1"/>
      <c r="AJ26" s="1"/>
      <c r="AL26" s="1"/>
    </row>
    <row r="27" spans="1:38" ht="13.8" x14ac:dyDescent="0.25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1"/>
      <c r="M27" s="11"/>
      <c r="N27" s="12"/>
      <c r="O27" s="12"/>
      <c r="P27" s="10"/>
      <c r="Q27" s="10"/>
      <c r="R27" s="10"/>
      <c r="S27" s="13">
        <f>SUM(Table32[[#This Row],[Female ( age less than 17)]:[Male ( More than 18)2]])</f>
        <v>0</v>
      </c>
      <c r="T27" s="10"/>
      <c r="U27" s="10"/>
      <c r="V27" s="10"/>
      <c r="W27" s="10"/>
      <c r="X27" s="10"/>
      <c r="Z27" s="1"/>
      <c r="AB27" s="1"/>
      <c r="AF27" s="1"/>
      <c r="AJ27" s="1"/>
      <c r="AL27" s="1"/>
    </row>
    <row r="28" spans="1:38" ht="13.8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1"/>
      <c r="M28" s="11"/>
      <c r="N28" s="12"/>
      <c r="O28" s="12"/>
      <c r="P28" s="10"/>
      <c r="Q28" s="10"/>
      <c r="R28" s="10"/>
      <c r="S28" s="13">
        <f>SUM(Table32[[#This Row],[Female ( age less than 17)]:[Male ( More than 18)2]])</f>
        <v>0</v>
      </c>
      <c r="T28" s="10"/>
      <c r="U28" s="10"/>
      <c r="V28" s="10"/>
      <c r="W28" s="10"/>
      <c r="X28" s="10"/>
      <c r="Z28" s="1"/>
      <c r="AB28" s="1"/>
      <c r="AF28" s="1"/>
      <c r="AJ28" s="1"/>
      <c r="AL28" s="1"/>
    </row>
    <row r="29" spans="1:38" ht="13.8" x14ac:dyDescent="0.25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1"/>
      <c r="M29" s="11"/>
      <c r="N29" s="12"/>
      <c r="O29" s="12"/>
      <c r="P29" s="10"/>
      <c r="Q29" s="10"/>
      <c r="R29" s="10"/>
      <c r="S29" s="13">
        <f>SUM(Table32[[#This Row],[Female ( age less than 17)]:[Male ( More than 18)2]])</f>
        <v>0</v>
      </c>
      <c r="T29" s="10"/>
      <c r="U29" s="10"/>
      <c r="V29" s="10"/>
      <c r="W29" s="10"/>
      <c r="X29" s="10"/>
      <c r="Z29" s="1"/>
      <c r="AB29" s="1"/>
      <c r="AF29" s="1"/>
      <c r="AJ29" s="1"/>
      <c r="AL29" s="1"/>
    </row>
    <row r="30" spans="1:38" ht="13.8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1"/>
      <c r="M30" s="11"/>
      <c r="N30" s="12"/>
      <c r="O30" s="12"/>
      <c r="P30" s="10"/>
      <c r="Q30" s="10"/>
      <c r="R30" s="10"/>
      <c r="S30" s="13">
        <f>SUM(Table32[[#This Row],[Female ( age less than 17)]:[Male ( More than 18)2]])</f>
        <v>0</v>
      </c>
      <c r="T30" s="10"/>
      <c r="U30" s="10"/>
      <c r="V30" s="10"/>
      <c r="W30" s="10"/>
      <c r="X30" s="10"/>
      <c r="Z30" s="1"/>
      <c r="AB30" s="1"/>
      <c r="AF30" s="1"/>
      <c r="AJ30" s="1"/>
      <c r="AL30" s="1"/>
    </row>
    <row r="31" spans="1:38" ht="13.8" x14ac:dyDescent="0.25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1"/>
      <c r="M31" s="11"/>
      <c r="N31" s="12"/>
      <c r="O31" s="12"/>
      <c r="P31" s="10"/>
      <c r="Q31" s="10"/>
      <c r="R31" s="10"/>
      <c r="S31" s="13">
        <f>SUM(Table32[[#This Row],[Female ( age less than 17)]:[Male ( More than 18)2]])</f>
        <v>0</v>
      </c>
      <c r="T31" s="10"/>
      <c r="U31" s="10"/>
      <c r="V31" s="10"/>
      <c r="W31" s="10"/>
      <c r="X31" s="10"/>
      <c r="Z31" s="1"/>
      <c r="AB31" s="1"/>
      <c r="AF31" s="1"/>
      <c r="AJ31" s="1"/>
      <c r="AL31" s="1"/>
    </row>
    <row r="32" spans="1:38" ht="13.8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1"/>
      <c r="M32" s="11"/>
      <c r="N32" s="12"/>
      <c r="O32" s="12"/>
      <c r="P32" s="10"/>
      <c r="Q32" s="10"/>
      <c r="R32" s="10"/>
      <c r="S32" s="13">
        <f>SUM(Table32[[#This Row],[Female ( age less than 17)]:[Male ( More than 18)2]])</f>
        <v>0</v>
      </c>
      <c r="T32" s="10"/>
      <c r="U32" s="10"/>
      <c r="V32" s="10"/>
      <c r="W32" s="10"/>
      <c r="X32" s="10"/>
      <c r="Z32" s="1"/>
      <c r="AB32" s="1"/>
      <c r="AF32" s="1"/>
      <c r="AJ32" s="1"/>
      <c r="AL32" s="1"/>
    </row>
    <row r="33" spans="1:38" ht="13.8" x14ac:dyDescent="0.25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1"/>
      <c r="M33" s="11"/>
      <c r="N33" s="12"/>
      <c r="O33" s="12"/>
      <c r="P33" s="10"/>
      <c r="Q33" s="10"/>
      <c r="R33" s="10"/>
      <c r="S33" s="13">
        <f>SUM(Table32[[#This Row],[Female ( age less than 17)]:[Male ( More than 18)2]])</f>
        <v>0</v>
      </c>
      <c r="T33" s="10"/>
      <c r="U33" s="10"/>
      <c r="V33" s="10"/>
      <c r="W33" s="10"/>
      <c r="X33" s="10"/>
      <c r="Z33" s="1"/>
      <c r="AB33" s="1"/>
      <c r="AF33" s="1"/>
      <c r="AJ33" s="1"/>
      <c r="AL33" s="1"/>
    </row>
    <row r="34" spans="1:38" ht="13.8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1"/>
      <c r="M34" s="11"/>
      <c r="N34" s="12"/>
      <c r="O34" s="12"/>
      <c r="P34" s="10"/>
      <c r="Q34" s="10"/>
      <c r="R34" s="10"/>
      <c r="S34" s="13">
        <f>SUM(Table32[[#This Row],[Female ( age less than 17)]:[Male ( More than 18)2]])</f>
        <v>0</v>
      </c>
      <c r="T34" s="10"/>
      <c r="U34" s="10"/>
      <c r="V34" s="10"/>
      <c r="W34" s="10"/>
      <c r="X34" s="10"/>
      <c r="Z34" s="1"/>
      <c r="AB34" s="1"/>
      <c r="AF34" s="1"/>
      <c r="AJ34" s="1"/>
      <c r="AL34" s="1"/>
    </row>
    <row r="35" spans="1:38" ht="13.8" x14ac:dyDescent="0.25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1"/>
      <c r="M35" s="11"/>
      <c r="N35" s="12"/>
      <c r="O35" s="12"/>
      <c r="P35" s="10"/>
      <c r="Q35" s="10"/>
      <c r="R35" s="10"/>
      <c r="S35" s="13">
        <f>SUM(Table32[[#This Row],[Female ( age less than 17)]:[Male ( More than 18)2]])</f>
        <v>0</v>
      </c>
      <c r="T35" s="10"/>
      <c r="U35" s="10"/>
      <c r="V35" s="10"/>
      <c r="W35" s="10"/>
      <c r="X35" s="10"/>
      <c r="Z35" s="1"/>
      <c r="AB35" s="1"/>
      <c r="AF35" s="1"/>
      <c r="AJ35" s="1"/>
      <c r="AL35" s="1"/>
    </row>
    <row r="36" spans="1:38" ht="13.8" x14ac:dyDescent="0.25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1"/>
      <c r="M36" s="11"/>
      <c r="N36" s="12"/>
      <c r="O36" s="12"/>
      <c r="P36" s="10"/>
      <c r="Q36" s="10"/>
      <c r="R36" s="10"/>
      <c r="S36" s="13">
        <f>SUM(Table32[[#This Row],[Female ( age less than 17)]:[Male ( More than 18)2]])</f>
        <v>0</v>
      </c>
      <c r="T36" s="10"/>
      <c r="U36" s="10"/>
      <c r="V36" s="10"/>
      <c r="W36" s="10"/>
      <c r="X36" s="10"/>
      <c r="Z36" s="1"/>
      <c r="AB36" s="1"/>
      <c r="AF36" s="1"/>
      <c r="AJ36" s="1"/>
      <c r="AL36" s="1"/>
    </row>
    <row r="37" spans="1:38" ht="13.8" x14ac:dyDescent="0.25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1"/>
      <c r="M37" s="11"/>
      <c r="N37" s="12"/>
      <c r="O37" s="12"/>
      <c r="P37" s="10"/>
      <c r="Q37" s="10"/>
      <c r="R37" s="10"/>
      <c r="S37" s="13">
        <f>SUM(Table32[[#This Row],[Female ( age less than 17)]:[Male ( More than 18)2]])</f>
        <v>0</v>
      </c>
      <c r="T37" s="10"/>
      <c r="U37" s="10"/>
      <c r="V37" s="10"/>
      <c r="W37" s="10"/>
      <c r="X37" s="10"/>
      <c r="Z37" s="1"/>
      <c r="AB37" s="1"/>
      <c r="AF37" s="1"/>
      <c r="AJ37" s="1"/>
      <c r="AL37" s="1"/>
    </row>
    <row r="38" spans="1:38" ht="13.8" x14ac:dyDescent="0.25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1"/>
      <c r="M38" s="11"/>
      <c r="N38" s="12"/>
      <c r="O38" s="12"/>
      <c r="P38" s="10"/>
      <c r="Q38" s="10"/>
      <c r="R38" s="10"/>
      <c r="S38" s="13">
        <f>SUM(Table32[[#This Row],[Female ( age less than 17)]:[Male ( More than 18)2]])</f>
        <v>0</v>
      </c>
      <c r="T38" s="10"/>
      <c r="U38" s="10"/>
      <c r="V38" s="10"/>
      <c r="W38" s="10"/>
      <c r="X38" s="10"/>
      <c r="Z38" s="1"/>
      <c r="AB38" s="1"/>
      <c r="AF38" s="1"/>
      <c r="AJ38" s="1"/>
      <c r="AL38" s="1"/>
    </row>
    <row r="39" spans="1:38" ht="13.8" x14ac:dyDescent="0.25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1"/>
      <c r="M39" s="11"/>
      <c r="N39" s="12"/>
      <c r="O39" s="12"/>
      <c r="P39" s="10"/>
      <c r="Q39" s="10"/>
      <c r="R39" s="10"/>
      <c r="S39" s="13">
        <f>SUM(Table32[[#This Row],[Female ( age less than 17)]:[Male ( More than 18)2]])</f>
        <v>0</v>
      </c>
      <c r="T39" s="10"/>
      <c r="U39" s="10"/>
      <c r="V39" s="10"/>
      <c r="W39" s="10"/>
      <c r="X39" s="10"/>
      <c r="Z39" s="1"/>
      <c r="AB39" s="1"/>
      <c r="AF39" s="1"/>
      <c r="AJ39" s="1"/>
      <c r="AL39" s="1"/>
    </row>
    <row r="40" spans="1:38" ht="13.8" x14ac:dyDescent="0.25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1"/>
      <c r="M40" s="11"/>
      <c r="N40" s="12"/>
      <c r="O40" s="12"/>
      <c r="P40" s="10"/>
      <c r="Q40" s="10"/>
      <c r="R40" s="10"/>
      <c r="S40" s="13">
        <f>SUM(Table32[[#This Row],[Female ( age less than 17)]:[Male ( More than 18)2]])</f>
        <v>0</v>
      </c>
      <c r="T40" s="10"/>
      <c r="U40" s="10"/>
      <c r="V40" s="10"/>
      <c r="W40" s="10"/>
      <c r="X40" s="10"/>
      <c r="Z40" s="1"/>
      <c r="AB40" s="1"/>
      <c r="AF40" s="1"/>
      <c r="AJ40" s="1"/>
      <c r="AL40" s="1"/>
    </row>
    <row r="41" spans="1:38" ht="13.8" x14ac:dyDescent="0.25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1"/>
      <c r="M41" s="11"/>
      <c r="N41" s="12"/>
      <c r="O41" s="12"/>
      <c r="P41" s="10"/>
      <c r="Q41" s="10"/>
      <c r="R41" s="10"/>
      <c r="S41" s="13">
        <f>SUM(Table32[[#This Row],[Female ( age less than 17)]:[Male ( More than 18)2]])</f>
        <v>0</v>
      </c>
      <c r="T41" s="10"/>
      <c r="U41" s="10"/>
      <c r="V41" s="10"/>
      <c r="W41" s="10"/>
      <c r="X41" s="10"/>
      <c r="Z41" s="1"/>
      <c r="AB41" s="1"/>
      <c r="AF41" s="1"/>
      <c r="AJ41" s="1"/>
      <c r="AL41" s="1"/>
    </row>
    <row r="42" spans="1:38" ht="13.8" x14ac:dyDescent="0.25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1"/>
      <c r="M42" s="11"/>
      <c r="N42" s="12"/>
      <c r="O42" s="12"/>
      <c r="P42" s="10"/>
      <c r="Q42" s="10"/>
      <c r="R42" s="10"/>
      <c r="S42" s="13">
        <f>SUM(Table32[[#This Row],[Female ( age less than 17)]:[Male ( More than 18)2]])</f>
        <v>0</v>
      </c>
      <c r="T42" s="10"/>
      <c r="U42" s="10"/>
      <c r="V42" s="10"/>
      <c r="W42" s="10"/>
      <c r="X42" s="10"/>
      <c r="Z42" s="1"/>
      <c r="AB42" s="1"/>
      <c r="AF42" s="1"/>
      <c r="AJ42" s="1"/>
      <c r="AL42" s="1"/>
    </row>
    <row r="43" spans="1:38" ht="13.8" x14ac:dyDescent="0.25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1"/>
      <c r="M43" s="11"/>
      <c r="N43" s="12"/>
      <c r="O43" s="12"/>
      <c r="P43" s="10"/>
      <c r="Q43" s="10"/>
      <c r="R43" s="10"/>
      <c r="S43" s="13">
        <f>SUM(Table32[[#This Row],[Female ( age less than 17)]:[Male ( More than 18)2]])</f>
        <v>0</v>
      </c>
      <c r="T43" s="10"/>
      <c r="U43" s="10"/>
      <c r="V43" s="10"/>
      <c r="W43" s="10"/>
      <c r="X43" s="10"/>
      <c r="Z43" s="1"/>
      <c r="AB43" s="1"/>
      <c r="AF43" s="1"/>
      <c r="AJ43" s="1"/>
      <c r="AL43" s="1"/>
    </row>
    <row r="44" spans="1:38" ht="13.8" x14ac:dyDescent="0.25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1"/>
      <c r="M44" s="11"/>
      <c r="N44" s="12"/>
      <c r="O44" s="12"/>
      <c r="P44" s="10"/>
      <c r="Q44" s="10"/>
      <c r="R44" s="10"/>
      <c r="S44" s="13">
        <f>SUM(Table32[[#This Row],[Female ( age less than 17)]:[Male ( More than 18)2]])</f>
        <v>0</v>
      </c>
      <c r="T44" s="10"/>
      <c r="U44" s="10"/>
      <c r="V44" s="10"/>
      <c r="W44" s="10"/>
      <c r="X44" s="10"/>
      <c r="Z44" s="1"/>
      <c r="AB44" s="1"/>
      <c r="AF44" s="1"/>
      <c r="AJ44" s="1"/>
      <c r="AL44" s="1"/>
    </row>
    <row r="45" spans="1:38" ht="13.8" x14ac:dyDescent="0.25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1"/>
      <c r="M45" s="11"/>
      <c r="N45" s="12"/>
      <c r="O45" s="12"/>
      <c r="P45" s="10"/>
      <c r="Q45" s="10"/>
      <c r="R45" s="10"/>
      <c r="S45" s="13">
        <f>SUM(Table32[[#This Row],[Female ( age less than 17)]:[Male ( More than 18)2]])</f>
        <v>0</v>
      </c>
      <c r="T45" s="10"/>
      <c r="U45" s="10"/>
      <c r="V45" s="10"/>
      <c r="W45" s="10"/>
      <c r="X45" s="10"/>
      <c r="Z45" s="1"/>
      <c r="AB45" s="1"/>
      <c r="AF45" s="1"/>
      <c r="AJ45" s="1"/>
      <c r="AL45" s="1"/>
    </row>
    <row r="46" spans="1:38" ht="13.8" x14ac:dyDescent="0.25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1"/>
      <c r="M46" s="11"/>
      <c r="N46" s="12"/>
      <c r="O46" s="12"/>
      <c r="P46" s="10"/>
      <c r="Q46" s="10"/>
      <c r="R46" s="10"/>
      <c r="S46" s="13">
        <f>SUM(Table32[[#This Row],[Female ( age less than 17)]:[Male ( More than 18)2]])</f>
        <v>0</v>
      </c>
      <c r="T46" s="10"/>
      <c r="U46" s="10"/>
      <c r="V46" s="10"/>
      <c r="W46" s="10"/>
      <c r="X46" s="10"/>
      <c r="Z46" s="1"/>
      <c r="AB46" s="1"/>
      <c r="AF46" s="1"/>
      <c r="AJ46" s="1"/>
      <c r="AL46" s="1"/>
    </row>
    <row r="47" spans="1:38" ht="13.8" x14ac:dyDescent="0.25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1"/>
      <c r="M47" s="11"/>
      <c r="N47" s="12"/>
      <c r="O47" s="12"/>
      <c r="P47" s="10"/>
      <c r="Q47" s="10"/>
      <c r="R47" s="10"/>
      <c r="S47" s="13">
        <f>SUM(Table32[[#This Row],[Female ( age less than 17)]:[Male ( More than 18)2]])</f>
        <v>0</v>
      </c>
      <c r="T47" s="10"/>
      <c r="U47" s="10"/>
      <c r="V47" s="10"/>
      <c r="W47" s="10"/>
      <c r="X47" s="10"/>
      <c r="Z47" s="1"/>
      <c r="AB47" s="1"/>
      <c r="AF47" s="1"/>
      <c r="AJ47" s="1"/>
      <c r="AL47" s="1"/>
    </row>
    <row r="48" spans="1:38" ht="13.8" x14ac:dyDescent="0.25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1"/>
      <c r="M48" s="11"/>
      <c r="N48" s="12"/>
      <c r="O48" s="12"/>
      <c r="P48" s="10"/>
      <c r="Q48" s="10"/>
      <c r="R48" s="10"/>
      <c r="S48" s="13">
        <f>SUM(Table32[[#This Row],[Female ( age less than 17)]:[Male ( More than 18)2]])</f>
        <v>0</v>
      </c>
      <c r="T48" s="10"/>
      <c r="U48" s="10"/>
      <c r="V48" s="10"/>
      <c r="W48" s="10"/>
      <c r="X48" s="10"/>
      <c r="Z48" s="1"/>
      <c r="AB48" s="1"/>
      <c r="AF48" s="1"/>
      <c r="AJ48" s="1"/>
      <c r="AL48" s="1"/>
    </row>
    <row r="49" spans="1:38" ht="13.8" x14ac:dyDescent="0.25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1"/>
      <c r="M49" s="11"/>
      <c r="N49" s="12"/>
      <c r="O49" s="12"/>
      <c r="P49" s="10"/>
      <c r="Q49" s="10"/>
      <c r="R49" s="10"/>
      <c r="S49" s="13">
        <f>SUM(Table32[[#This Row],[Female ( age less than 17)]:[Male ( More than 18)2]])</f>
        <v>0</v>
      </c>
      <c r="T49" s="10"/>
      <c r="U49" s="10"/>
      <c r="V49" s="10"/>
      <c r="W49" s="10"/>
      <c r="X49" s="10"/>
      <c r="Z49" s="1"/>
      <c r="AB49" s="1"/>
      <c r="AF49" s="1"/>
      <c r="AJ49" s="1"/>
      <c r="AL49" s="1"/>
    </row>
    <row r="50" spans="1:38" ht="13.8" x14ac:dyDescent="0.25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1"/>
      <c r="M50" s="11"/>
      <c r="N50" s="12"/>
      <c r="O50" s="12"/>
      <c r="P50" s="10"/>
      <c r="Q50" s="10"/>
      <c r="R50" s="10"/>
      <c r="S50" s="13">
        <f>SUM(Table32[[#This Row],[Female ( age less than 17)]:[Male ( More than 18)2]])</f>
        <v>0</v>
      </c>
      <c r="T50" s="10"/>
      <c r="U50" s="10"/>
      <c r="V50" s="10"/>
      <c r="W50" s="10"/>
      <c r="X50" s="10"/>
      <c r="Z50" s="1"/>
      <c r="AB50" s="1"/>
      <c r="AF50" s="1"/>
      <c r="AJ50" s="1"/>
      <c r="AL50" s="1"/>
    </row>
    <row r="51" spans="1:38" ht="13.8" x14ac:dyDescent="0.25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1"/>
      <c r="M51" s="11"/>
      <c r="N51" s="12"/>
      <c r="O51" s="12"/>
      <c r="P51" s="10"/>
      <c r="Q51" s="10"/>
      <c r="R51" s="10"/>
      <c r="S51" s="13">
        <f>SUM(Table32[[#This Row],[Female ( age less than 17)]:[Male ( More than 18)2]])</f>
        <v>0</v>
      </c>
      <c r="T51" s="10"/>
      <c r="U51" s="10"/>
      <c r="V51" s="10"/>
      <c r="W51" s="10"/>
      <c r="X51" s="10"/>
      <c r="Z51" s="1"/>
      <c r="AB51" s="1"/>
      <c r="AF51" s="1"/>
      <c r="AJ51" s="1"/>
      <c r="AL51" s="1"/>
    </row>
    <row r="52" spans="1:38" ht="13.8" x14ac:dyDescent="0.25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1"/>
      <c r="M52" s="11"/>
      <c r="N52" s="12"/>
      <c r="O52" s="12"/>
      <c r="P52" s="10"/>
      <c r="Q52" s="10"/>
      <c r="R52" s="10"/>
      <c r="S52" s="13">
        <f>SUM(Table32[[#This Row],[Female ( age less than 17)]:[Male ( More than 18)2]])</f>
        <v>0</v>
      </c>
      <c r="T52" s="10"/>
      <c r="U52" s="10"/>
      <c r="V52" s="10"/>
      <c r="W52" s="10"/>
      <c r="X52" s="10"/>
      <c r="Z52" s="1"/>
      <c r="AB52" s="1"/>
      <c r="AF52" s="1"/>
      <c r="AJ52" s="1"/>
      <c r="AL52" s="1"/>
    </row>
    <row r="53" spans="1:38" ht="13.8" x14ac:dyDescent="0.25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1"/>
      <c r="M53" s="11"/>
      <c r="N53" s="12"/>
      <c r="O53" s="12"/>
      <c r="P53" s="10"/>
      <c r="Q53" s="10"/>
      <c r="R53" s="10"/>
      <c r="S53" s="13">
        <f>SUM(Table32[[#This Row],[Female ( age less than 17)]:[Male ( More than 18)2]])</f>
        <v>0</v>
      </c>
      <c r="T53" s="10"/>
      <c r="U53" s="10"/>
      <c r="V53" s="10"/>
      <c r="W53" s="10"/>
      <c r="X53" s="10"/>
      <c r="Z53" s="1"/>
      <c r="AB53" s="1"/>
      <c r="AF53" s="1"/>
      <c r="AJ53" s="1"/>
      <c r="AL53" s="1"/>
    </row>
    <row r="54" spans="1:38" ht="13.8" x14ac:dyDescent="0.25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1"/>
      <c r="M54" s="11"/>
      <c r="N54" s="12"/>
      <c r="O54" s="12"/>
      <c r="P54" s="10"/>
      <c r="Q54" s="10"/>
      <c r="R54" s="10"/>
      <c r="S54" s="13">
        <f>SUM(Table32[[#This Row],[Female ( age less than 17)]:[Male ( More than 18)2]])</f>
        <v>0</v>
      </c>
      <c r="T54" s="10"/>
      <c r="U54" s="10"/>
      <c r="V54" s="10"/>
      <c r="W54" s="10"/>
      <c r="X54" s="10"/>
      <c r="Z54" s="1"/>
      <c r="AB54" s="1"/>
      <c r="AF54" s="1"/>
      <c r="AJ54" s="1"/>
      <c r="AL54" s="1"/>
    </row>
    <row r="55" spans="1:38" ht="13.8" x14ac:dyDescent="0.25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1"/>
      <c r="M55" s="11"/>
      <c r="N55" s="12"/>
      <c r="O55" s="12"/>
      <c r="P55" s="10"/>
      <c r="Q55" s="10"/>
      <c r="R55" s="10"/>
      <c r="S55" s="13">
        <f>SUM(Table32[[#This Row],[Female ( age less than 17)]:[Male ( More than 18)2]])</f>
        <v>0</v>
      </c>
      <c r="T55" s="10"/>
      <c r="U55" s="10"/>
      <c r="V55" s="10"/>
      <c r="W55" s="10"/>
      <c r="X55" s="10"/>
      <c r="Z55" s="1"/>
      <c r="AB55" s="1"/>
      <c r="AF55" s="1"/>
      <c r="AJ55" s="1"/>
      <c r="AL55" s="1"/>
    </row>
    <row r="56" spans="1:38" ht="13.8" x14ac:dyDescent="0.25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1"/>
      <c r="M56" s="11"/>
      <c r="N56" s="12"/>
      <c r="O56" s="12"/>
      <c r="P56" s="10"/>
      <c r="Q56" s="10"/>
      <c r="R56" s="10"/>
      <c r="S56" s="13">
        <f>SUM(Table32[[#This Row],[Female ( age less than 17)]:[Male ( More than 18)2]])</f>
        <v>0</v>
      </c>
      <c r="T56" s="10"/>
      <c r="U56" s="10"/>
      <c r="V56" s="10"/>
      <c r="W56" s="10"/>
      <c r="X56" s="10"/>
      <c r="Z56" s="1"/>
      <c r="AB56" s="1"/>
      <c r="AF56" s="1"/>
      <c r="AJ56" s="1"/>
      <c r="AL56" s="1"/>
    </row>
    <row r="57" spans="1:38" ht="13.8" x14ac:dyDescent="0.25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1"/>
      <c r="M57" s="11"/>
      <c r="N57" s="12"/>
      <c r="O57" s="12"/>
      <c r="P57" s="10"/>
      <c r="Q57" s="10"/>
      <c r="R57" s="10"/>
      <c r="S57" s="13">
        <f>SUM(Table32[[#This Row],[Female ( age less than 17)]:[Male ( More than 18)2]])</f>
        <v>0</v>
      </c>
      <c r="T57" s="10"/>
      <c r="U57" s="10"/>
      <c r="V57" s="10"/>
      <c r="W57" s="10"/>
      <c r="X57" s="10"/>
      <c r="Z57" s="1"/>
      <c r="AB57" s="1"/>
      <c r="AF57" s="1"/>
      <c r="AJ57" s="1"/>
      <c r="AL57" s="1"/>
    </row>
    <row r="58" spans="1:38" ht="13.8" x14ac:dyDescent="0.25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1"/>
      <c r="M58" s="11"/>
      <c r="N58" s="12"/>
      <c r="O58" s="12"/>
      <c r="P58" s="10"/>
      <c r="Q58" s="10"/>
      <c r="R58" s="10"/>
      <c r="S58" s="13">
        <f>SUM(Table32[[#This Row],[Female ( age less than 17)]:[Male ( More than 18)2]])</f>
        <v>0</v>
      </c>
      <c r="T58" s="10"/>
      <c r="U58" s="10"/>
      <c r="V58" s="10"/>
      <c r="W58" s="10"/>
      <c r="X58" s="10"/>
      <c r="Z58" s="1"/>
      <c r="AB58" s="1"/>
      <c r="AF58" s="1"/>
      <c r="AJ58" s="1"/>
      <c r="AL58" s="1"/>
    </row>
    <row r="59" spans="1:38" ht="13.8" x14ac:dyDescent="0.25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1"/>
      <c r="M59" s="11"/>
      <c r="N59" s="12"/>
      <c r="O59" s="12"/>
      <c r="P59" s="10"/>
      <c r="Q59" s="10"/>
      <c r="R59" s="10"/>
      <c r="S59" s="13">
        <f>SUM(Table32[[#This Row],[Female ( age less than 17)]:[Male ( More than 18)2]])</f>
        <v>0</v>
      </c>
      <c r="T59" s="10"/>
      <c r="U59" s="10"/>
      <c r="V59" s="10"/>
      <c r="W59" s="10"/>
      <c r="X59" s="10"/>
      <c r="Z59" s="1"/>
      <c r="AB59" s="1"/>
      <c r="AF59" s="1"/>
      <c r="AJ59" s="1"/>
      <c r="AL59" s="1"/>
    </row>
    <row r="60" spans="1:38" ht="13.8" x14ac:dyDescent="0.25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1"/>
      <c r="M60" s="11"/>
      <c r="N60" s="12"/>
      <c r="O60" s="12"/>
      <c r="P60" s="10"/>
      <c r="Q60" s="10"/>
      <c r="R60" s="10"/>
      <c r="S60" s="13">
        <f>SUM(Table32[[#This Row],[Female ( age less than 17)]:[Male ( More than 18)2]])</f>
        <v>0</v>
      </c>
      <c r="T60" s="10"/>
      <c r="U60" s="10"/>
      <c r="V60" s="10"/>
      <c r="W60" s="10"/>
      <c r="X60" s="10"/>
      <c r="Z60" s="1"/>
      <c r="AB60" s="1"/>
      <c r="AF60" s="1"/>
      <c r="AJ60" s="1"/>
      <c r="AL60" s="1"/>
    </row>
    <row r="61" spans="1:38" ht="13.8" x14ac:dyDescent="0.25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1"/>
      <c r="M61" s="11"/>
      <c r="N61" s="12"/>
      <c r="O61" s="12"/>
      <c r="P61" s="10"/>
      <c r="Q61" s="10"/>
      <c r="R61" s="10"/>
      <c r="S61" s="13">
        <f>SUM(Table32[[#This Row],[Female ( age less than 17)]:[Male ( More than 18)2]])</f>
        <v>0</v>
      </c>
      <c r="T61" s="10"/>
      <c r="U61" s="10"/>
      <c r="V61" s="10"/>
      <c r="W61" s="10"/>
      <c r="X61" s="10"/>
      <c r="Z61" s="1"/>
      <c r="AB61" s="1"/>
      <c r="AF61" s="1"/>
      <c r="AJ61" s="1"/>
      <c r="AL61" s="1"/>
    </row>
    <row r="62" spans="1:38" ht="13.8" x14ac:dyDescent="0.25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1"/>
      <c r="M62" s="11"/>
      <c r="N62" s="12"/>
      <c r="O62" s="12"/>
      <c r="P62" s="10"/>
      <c r="Q62" s="10"/>
      <c r="R62" s="10"/>
      <c r="S62" s="13">
        <f>SUM(Table32[[#This Row],[Female ( age less than 17)]:[Male ( More than 18)2]])</f>
        <v>0</v>
      </c>
      <c r="T62" s="10"/>
      <c r="U62" s="10"/>
      <c r="V62" s="10"/>
      <c r="W62" s="10"/>
      <c r="X62" s="10"/>
      <c r="Z62" s="1"/>
      <c r="AB62" s="1"/>
      <c r="AF62" s="1"/>
      <c r="AJ62" s="1"/>
      <c r="AL62" s="1"/>
    </row>
    <row r="63" spans="1:38" ht="13.8" x14ac:dyDescent="0.25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1"/>
      <c r="M63" s="11"/>
      <c r="N63" s="12"/>
      <c r="O63" s="12"/>
      <c r="P63" s="10"/>
      <c r="Q63" s="10"/>
      <c r="R63" s="10"/>
      <c r="S63" s="13">
        <f>SUM(Table32[[#This Row],[Female ( age less than 17)]:[Male ( More than 18)2]])</f>
        <v>0</v>
      </c>
      <c r="T63" s="10"/>
      <c r="U63" s="10"/>
      <c r="V63" s="10"/>
      <c r="W63" s="10"/>
      <c r="X63" s="10"/>
      <c r="Z63" s="1"/>
      <c r="AB63" s="1"/>
      <c r="AF63" s="1"/>
      <c r="AJ63" s="1"/>
      <c r="AL63" s="1"/>
    </row>
    <row r="64" spans="1:38" ht="13.8" x14ac:dyDescent="0.25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1"/>
      <c r="M64" s="11"/>
      <c r="N64" s="12"/>
      <c r="O64" s="12"/>
      <c r="P64" s="10"/>
      <c r="Q64" s="10"/>
      <c r="R64" s="10"/>
      <c r="S64" s="13">
        <f>SUM(Table32[[#This Row],[Female ( age less than 17)]:[Male ( More than 18)2]])</f>
        <v>0</v>
      </c>
      <c r="T64" s="10"/>
      <c r="U64" s="10"/>
      <c r="V64" s="10"/>
      <c r="W64" s="10"/>
      <c r="X64" s="10"/>
      <c r="Z64" s="1"/>
      <c r="AB64" s="1"/>
      <c r="AF64" s="1"/>
      <c r="AJ64" s="1"/>
      <c r="AL64" s="1"/>
    </row>
    <row r="65" spans="1:38" ht="13.8" x14ac:dyDescent="0.25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1"/>
      <c r="M65" s="11"/>
      <c r="N65" s="12"/>
      <c r="O65" s="12"/>
      <c r="P65" s="10"/>
      <c r="Q65" s="10"/>
      <c r="R65" s="10"/>
      <c r="S65" s="13">
        <f>SUM(Table32[[#This Row],[Female ( age less than 17)]:[Male ( More than 18)2]])</f>
        <v>0</v>
      </c>
      <c r="T65" s="10"/>
      <c r="U65" s="10"/>
      <c r="V65" s="10"/>
      <c r="W65" s="10"/>
      <c r="X65" s="10"/>
      <c r="Z65" s="1"/>
      <c r="AB65" s="1"/>
      <c r="AF65" s="1"/>
      <c r="AJ65" s="1"/>
      <c r="AL65" s="1"/>
    </row>
    <row r="66" spans="1:38" ht="13.8" x14ac:dyDescent="0.25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1"/>
      <c r="M66" s="11"/>
      <c r="N66" s="12"/>
      <c r="O66" s="12"/>
      <c r="P66" s="10"/>
      <c r="Q66" s="10"/>
      <c r="R66" s="10"/>
      <c r="S66" s="13">
        <f>SUM(Table32[[#This Row],[Female ( age less than 17)]:[Male ( More than 18)2]])</f>
        <v>0</v>
      </c>
      <c r="T66" s="10"/>
      <c r="U66" s="10"/>
      <c r="V66" s="10"/>
      <c r="W66" s="10"/>
      <c r="X66" s="10"/>
      <c r="Z66" s="1"/>
      <c r="AB66" s="1"/>
      <c r="AF66" s="1"/>
      <c r="AJ66" s="1"/>
      <c r="AL66" s="1"/>
    </row>
    <row r="67" spans="1:38" ht="13.8" x14ac:dyDescent="0.25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1"/>
      <c r="M67" s="11"/>
      <c r="N67" s="12"/>
      <c r="O67" s="12"/>
      <c r="P67" s="10"/>
      <c r="Q67" s="10"/>
      <c r="R67" s="10"/>
      <c r="S67" s="13">
        <f>SUM(Table32[[#This Row],[Female ( age less than 17)]:[Male ( More than 18)2]])</f>
        <v>0</v>
      </c>
      <c r="T67" s="10"/>
      <c r="U67" s="10"/>
      <c r="V67" s="10"/>
      <c r="W67" s="10"/>
      <c r="X67" s="10"/>
      <c r="Z67" s="1"/>
      <c r="AB67" s="1"/>
      <c r="AF67" s="1"/>
      <c r="AJ67" s="1"/>
      <c r="AL67" s="1"/>
    </row>
    <row r="68" spans="1:38" ht="13.8" x14ac:dyDescent="0.25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1"/>
      <c r="M68" s="11"/>
      <c r="N68" s="12"/>
      <c r="O68" s="12"/>
      <c r="P68" s="10"/>
      <c r="Q68" s="10"/>
      <c r="R68" s="10"/>
      <c r="S68" s="13">
        <f>SUM(Table32[[#This Row],[Female ( age less than 17)]:[Male ( More than 18)2]])</f>
        <v>0</v>
      </c>
      <c r="T68" s="10"/>
      <c r="U68" s="10"/>
      <c r="V68" s="10"/>
      <c r="W68" s="10"/>
      <c r="X68" s="10"/>
      <c r="Z68" s="1"/>
      <c r="AB68" s="1"/>
      <c r="AF68" s="1"/>
      <c r="AJ68" s="1"/>
      <c r="AL68" s="1"/>
    </row>
    <row r="69" spans="1:38" ht="13.8" x14ac:dyDescent="0.25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1"/>
      <c r="M69" s="11"/>
      <c r="N69" s="12"/>
      <c r="O69" s="12"/>
      <c r="P69" s="10"/>
      <c r="Q69" s="10"/>
      <c r="R69" s="10"/>
      <c r="S69" s="13">
        <f>SUM(Table32[[#This Row],[Female ( age less than 17)]:[Male ( More than 18)2]])</f>
        <v>0</v>
      </c>
      <c r="T69" s="10"/>
      <c r="U69" s="10"/>
      <c r="V69" s="10"/>
      <c r="W69" s="10"/>
      <c r="X69" s="10"/>
      <c r="Z69" s="1"/>
      <c r="AB69" s="1"/>
      <c r="AF69" s="1"/>
      <c r="AJ69" s="1"/>
      <c r="AL69" s="1"/>
    </row>
    <row r="70" spans="1:38" ht="13.8" x14ac:dyDescent="0.25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1"/>
      <c r="M70" s="11"/>
      <c r="N70" s="12"/>
      <c r="O70" s="12"/>
      <c r="P70" s="10"/>
      <c r="Q70" s="10"/>
      <c r="R70" s="10"/>
      <c r="S70" s="13">
        <f>SUM(Table32[[#This Row],[Female ( age less than 17)]:[Male ( More than 18)2]])</f>
        <v>0</v>
      </c>
      <c r="T70" s="10"/>
      <c r="U70" s="10"/>
      <c r="V70" s="10"/>
      <c r="W70" s="10"/>
      <c r="X70" s="10"/>
      <c r="Z70" s="1"/>
      <c r="AB70" s="1"/>
      <c r="AF70" s="1"/>
      <c r="AJ70" s="1"/>
      <c r="AL70" s="1"/>
    </row>
    <row r="71" spans="1:38" ht="13.8" x14ac:dyDescent="0.25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1"/>
      <c r="M71" s="11"/>
      <c r="N71" s="12"/>
      <c r="O71" s="12"/>
      <c r="P71" s="10"/>
      <c r="Q71" s="10"/>
      <c r="R71" s="10"/>
      <c r="S71" s="13">
        <f>SUM(Table32[[#This Row],[Female ( age less than 17)]:[Male ( More than 18)2]])</f>
        <v>0</v>
      </c>
      <c r="T71" s="10"/>
      <c r="U71" s="10"/>
      <c r="V71" s="10"/>
      <c r="W71" s="10"/>
      <c r="X71" s="10"/>
      <c r="Z71" s="1"/>
      <c r="AB71" s="1"/>
      <c r="AF71" s="1"/>
      <c r="AJ71" s="1"/>
      <c r="AL71" s="1"/>
    </row>
    <row r="72" spans="1:38" ht="13.8" x14ac:dyDescent="0.25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1"/>
      <c r="M72" s="11"/>
      <c r="N72" s="12"/>
      <c r="O72" s="12"/>
      <c r="P72" s="10"/>
      <c r="Q72" s="10"/>
      <c r="R72" s="10"/>
      <c r="S72" s="13">
        <f>SUM(Table32[[#This Row],[Female ( age less than 17)]:[Male ( More than 18)2]])</f>
        <v>0</v>
      </c>
      <c r="T72" s="10"/>
      <c r="U72" s="10"/>
      <c r="V72" s="10"/>
      <c r="W72" s="10"/>
      <c r="X72" s="10"/>
      <c r="Z72" s="1"/>
      <c r="AB72" s="1"/>
      <c r="AF72" s="1"/>
      <c r="AJ72" s="1"/>
      <c r="AL72" s="1"/>
    </row>
    <row r="73" spans="1:38" ht="13.8" x14ac:dyDescent="0.25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1"/>
      <c r="M73" s="11"/>
      <c r="N73" s="12"/>
      <c r="O73" s="12"/>
      <c r="P73" s="10"/>
      <c r="Q73" s="10"/>
      <c r="R73" s="10"/>
      <c r="S73" s="13">
        <f>SUM(Table32[[#This Row],[Female ( age less than 17)]:[Male ( More than 18)2]])</f>
        <v>0</v>
      </c>
      <c r="T73" s="10"/>
      <c r="U73" s="10"/>
      <c r="V73" s="10"/>
      <c r="W73" s="10"/>
      <c r="X73" s="10"/>
      <c r="Z73" s="1"/>
      <c r="AB73" s="1"/>
      <c r="AF73" s="1"/>
      <c r="AJ73" s="1"/>
      <c r="AL73" s="1"/>
    </row>
    <row r="74" spans="1:38" ht="13.8" x14ac:dyDescent="0.25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1"/>
      <c r="M74" s="11"/>
      <c r="N74" s="12"/>
      <c r="O74" s="12"/>
      <c r="P74" s="10"/>
      <c r="Q74" s="10"/>
      <c r="R74" s="10"/>
      <c r="S74" s="13">
        <f>SUM(Table32[[#This Row],[Female ( age less than 17)]:[Male ( More than 18)2]])</f>
        <v>0</v>
      </c>
      <c r="T74" s="10"/>
      <c r="U74" s="10"/>
      <c r="V74" s="10"/>
      <c r="W74" s="10"/>
      <c r="X74" s="10"/>
      <c r="Z74" s="1"/>
      <c r="AB74" s="1"/>
      <c r="AF74" s="1"/>
      <c r="AJ74" s="1"/>
      <c r="AL74" s="1"/>
    </row>
    <row r="75" spans="1:38" ht="13.8" x14ac:dyDescent="0.25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1"/>
      <c r="M75" s="11"/>
      <c r="N75" s="12"/>
      <c r="O75" s="12"/>
      <c r="P75" s="10"/>
      <c r="Q75" s="10"/>
      <c r="R75" s="10"/>
      <c r="S75" s="13">
        <f>SUM(Table32[[#This Row],[Female ( age less than 17)]:[Male ( More than 18)2]])</f>
        <v>0</v>
      </c>
      <c r="T75" s="10"/>
      <c r="U75" s="10"/>
      <c r="V75" s="10"/>
      <c r="W75" s="10"/>
      <c r="X75" s="10"/>
      <c r="Z75" s="1"/>
      <c r="AB75" s="1"/>
      <c r="AF75" s="1"/>
      <c r="AJ75" s="1"/>
      <c r="AL75" s="1"/>
    </row>
    <row r="76" spans="1:38" ht="13.8" x14ac:dyDescent="0.25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1"/>
      <c r="M76" s="11"/>
      <c r="N76" s="12"/>
      <c r="O76" s="12"/>
      <c r="P76" s="10"/>
      <c r="Q76" s="10"/>
      <c r="R76" s="10"/>
      <c r="S76" s="13">
        <f>SUM(Table32[[#This Row],[Female ( age less than 17)]:[Male ( More than 18)2]])</f>
        <v>0</v>
      </c>
      <c r="T76" s="10"/>
      <c r="U76" s="10"/>
      <c r="V76" s="10"/>
      <c r="W76" s="10"/>
      <c r="X76" s="10"/>
      <c r="Z76" s="1"/>
      <c r="AB76" s="1"/>
      <c r="AF76" s="1"/>
      <c r="AJ76" s="1"/>
      <c r="AL76" s="1"/>
    </row>
    <row r="77" spans="1:38" ht="13.8" x14ac:dyDescent="0.25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1"/>
      <c r="M77" s="11"/>
      <c r="N77" s="12"/>
      <c r="O77" s="12"/>
      <c r="P77" s="10"/>
      <c r="Q77" s="10"/>
      <c r="R77" s="10"/>
      <c r="S77" s="13">
        <f>SUM(Table32[[#This Row],[Female ( age less than 17)]:[Male ( More than 18)2]])</f>
        <v>0</v>
      </c>
      <c r="T77" s="10"/>
      <c r="U77" s="10"/>
      <c r="V77" s="10"/>
      <c r="W77" s="10"/>
      <c r="X77" s="10"/>
      <c r="Z77" s="1"/>
      <c r="AB77" s="1"/>
      <c r="AF77" s="1"/>
      <c r="AJ77" s="1"/>
      <c r="AL77" s="1"/>
    </row>
    <row r="78" spans="1:38" ht="13.8" x14ac:dyDescent="0.25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1"/>
      <c r="M78" s="11"/>
      <c r="N78" s="12"/>
      <c r="O78" s="12"/>
      <c r="P78" s="10"/>
      <c r="Q78" s="10"/>
      <c r="R78" s="10"/>
      <c r="S78" s="13">
        <f>SUM(Table32[[#This Row],[Female ( age less than 17)]:[Male ( More than 18)2]])</f>
        <v>0</v>
      </c>
      <c r="T78" s="10"/>
      <c r="U78" s="10"/>
      <c r="V78" s="10"/>
      <c r="W78" s="10"/>
      <c r="X78" s="10"/>
      <c r="Z78" s="1"/>
      <c r="AB78" s="1"/>
      <c r="AF78" s="1"/>
      <c r="AJ78" s="1"/>
      <c r="AL78" s="1"/>
    </row>
    <row r="79" spans="1:38" ht="13.8" x14ac:dyDescent="0.25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1"/>
      <c r="M79" s="11"/>
      <c r="N79" s="12"/>
      <c r="O79" s="12"/>
      <c r="P79" s="10"/>
      <c r="Q79" s="10"/>
      <c r="R79" s="10"/>
      <c r="S79" s="13">
        <f>SUM(Table32[[#This Row],[Female ( age less than 17)]:[Male ( More than 18)2]])</f>
        <v>0</v>
      </c>
      <c r="T79" s="10"/>
      <c r="U79" s="10"/>
      <c r="V79" s="10"/>
      <c r="W79" s="10"/>
      <c r="X79" s="10"/>
      <c r="Z79" s="1"/>
      <c r="AB79" s="1"/>
      <c r="AF79" s="1"/>
      <c r="AJ79" s="1"/>
      <c r="AL79" s="1"/>
    </row>
    <row r="80" spans="1:38" ht="13.8" x14ac:dyDescent="0.25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1"/>
      <c r="M80" s="11"/>
      <c r="N80" s="12"/>
      <c r="O80" s="12"/>
      <c r="P80" s="10"/>
      <c r="Q80" s="10"/>
      <c r="R80" s="10"/>
      <c r="S80" s="13">
        <f>SUM(Table32[[#This Row],[Female ( age less than 17)]:[Male ( More than 18)2]])</f>
        <v>0</v>
      </c>
      <c r="T80" s="10"/>
      <c r="U80" s="10"/>
      <c r="V80" s="10"/>
      <c r="W80" s="10"/>
      <c r="X80" s="10"/>
      <c r="Z80" s="1"/>
      <c r="AB80" s="1"/>
      <c r="AF80" s="1"/>
      <c r="AJ80" s="1"/>
      <c r="AL80" s="1"/>
    </row>
    <row r="81" spans="1:38" ht="13.8" x14ac:dyDescent="0.25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1"/>
      <c r="M81" s="11"/>
      <c r="N81" s="12"/>
      <c r="O81" s="12"/>
      <c r="P81" s="10"/>
      <c r="Q81" s="10"/>
      <c r="R81" s="10"/>
      <c r="S81" s="13">
        <f>SUM(Table32[[#This Row],[Female ( age less than 17)]:[Male ( More than 18)2]])</f>
        <v>0</v>
      </c>
      <c r="T81" s="10"/>
      <c r="U81" s="10"/>
      <c r="V81" s="10"/>
      <c r="W81" s="10"/>
      <c r="X81" s="10"/>
      <c r="Z81" s="1"/>
      <c r="AB81" s="1"/>
      <c r="AF81" s="1"/>
      <c r="AJ81" s="1"/>
      <c r="AL81" s="1"/>
    </row>
    <row r="82" spans="1:38" ht="13.8" x14ac:dyDescent="0.25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1"/>
      <c r="M82" s="11"/>
      <c r="N82" s="12"/>
      <c r="O82" s="12"/>
      <c r="P82" s="10"/>
      <c r="Q82" s="10"/>
      <c r="R82" s="10"/>
      <c r="S82" s="13">
        <f>SUM(Table32[[#This Row],[Female ( age less than 17)]:[Male ( More than 18)2]])</f>
        <v>0</v>
      </c>
      <c r="T82" s="10"/>
      <c r="U82" s="10"/>
      <c r="V82" s="10"/>
      <c r="W82" s="10"/>
      <c r="X82" s="10"/>
      <c r="Z82" s="1"/>
      <c r="AB82" s="1"/>
      <c r="AF82" s="1"/>
      <c r="AJ82" s="1"/>
      <c r="AL82" s="1"/>
    </row>
    <row r="83" spans="1:38" ht="13.8" x14ac:dyDescent="0.25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1"/>
      <c r="M83" s="11"/>
      <c r="N83" s="12"/>
      <c r="O83" s="12"/>
      <c r="P83" s="10"/>
      <c r="Q83" s="10"/>
      <c r="R83" s="10"/>
      <c r="S83" s="13">
        <f>SUM(Table32[[#This Row],[Female ( age less than 17)]:[Male ( More than 18)2]])</f>
        <v>0</v>
      </c>
      <c r="T83" s="10"/>
      <c r="U83" s="10"/>
      <c r="V83" s="10"/>
      <c r="W83" s="10"/>
      <c r="X83" s="10"/>
      <c r="Z83" s="1"/>
      <c r="AB83" s="1"/>
      <c r="AF83" s="1"/>
      <c r="AJ83" s="1"/>
      <c r="AL83" s="1"/>
    </row>
    <row r="84" spans="1:38" ht="13.8" x14ac:dyDescent="0.25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1"/>
      <c r="M84" s="11"/>
      <c r="N84" s="12"/>
      <c r="O84" s="12"/>
      <c r="P84" s="10"/>
      <c r="Q84" s="10"/>
      <c r="R84" s="10"/>
      <c r="S84" s="13">
        <f>SUM(Table32[[#This Row],[Female ( age less than 17)]:[Male ( More than 18)2]])</f>
        <v>0</v>
      </c>
      <c r="T84" s="10"/>
      <c r="U84" s="10"/>
      <c r="V84" s="10"/>
      <c r="W84" s="10"/>
      <c r="X84" s="10"/>
      <c r="Z84" s="1"/>
      <c r="AB84" s="1"/>
      <c r="AF84" s="1"/>
      <c r="AJ84" s="1"/>
      <c r="AL84" s="1"/>
    </row>
    <row r="85" spans="1:38" ht="13.8" x14ac:dyDescent="0.25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1"/>
      <c r="M85" s="11"/>
      <c r="N85" s="12"/>
      <c r="O85" s="12"/>
      <c r="P85" s="10"/>
      <c r="Q85" s="10"/>
      <c r="R85" s="10"/>
      <c r="S85" s="13">
        <f>SUM(Table32[[#This Row],[Female ( age less than 17)]:[Male ( More than 18)2]])</f>
        <v>0</v>
      </c>
      <c r="T85" s="10"/>
      <c r="U85" s="10"/>
      <c r="V85" s="10"/>
      <c r="W85" s="10"/>
      <c r="X85" s="10"/>
      <c r="Z85" s="1"/>
      <c r="AB85" s="1"/>
      <c r="AF85" s="1"/>
      <c r="AJ85" s="1"/>
      <c r="AL85" s="1"/>
    </row>
    <row r="86" spans="1:38" ht="13.8" x14ac:dyDescent="0.25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1"/>
      <c r="M86" s="11"/>
      <c r="N86" s="12"/>
      <c r="O86" s="12"/>
      <c r="P86" s="10"/>
      <c r="Q86" s="10"/>
      <c r="R86" s="10"/>
      <c r="S86" s="13">
        <f>SUM(Table32[[#This Row],[Female ( age less than 17)]:[Male ( More than 18)2]])</f>
        <v>0</v>
      </c>
      <c r="T86" s="10"/>
      <c r="U86" s="10"/>
      <c r="V86" s="10"/>
      <c r="W86" s="10"/>
      <c r="X86" s="10"/>
      <c r="Z86" s="1"/>
      <c r="AB86" s="1"/>
      <c r="AF86" s="1"/>
      <c r="AJ86" s="1"/>
      <c r="AL86" s="1"/>
    </row>
    <row r="87" spans="1:38" ht="13.8" x14ac:dyDescent="0.25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1"/>
      <c r="M87" s="11"/>
      <c r="N87" s="12"/>
      <c r="O87" s="12"/>
      <c r="P87" s="10"/>
      <c r="Q87" s="10"/>
      <c r="R87" s="10"/>
      <c r="S87" s="13">
        <f>SUM(Table32[[#This Row],[Female ( age less than 17)]:[Male ( More than 18)2]])</f>
        <v>0</v>
      </c>
      <c r="T87" s="10"/>
      <c r="U87" s="10"/>
      <c r="V87" s="10"/>
      <c r="W87" s="10"/>
      <c r="X87" s="10"/>
      <c r="Z87" s="1"/>
      <c r="AB87" s="1"/>
      <c r="AF87" s="1"/>
      <c r="AJ87" s="1"/>
      <c r="AL87" s="1"/>
    </row>
    <row r="88" spans="1:38" ht="13.8" x14ac:dyDescent="0.25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1"/>
      <c r="M88" s="11"/>
      <c r="N88" s="12"/>
      <c r="O88" s="12"/>
      <c r="P88" s="10"/>
      <c r="Q88" s="10"/>
      <c r="R88" s="10"/>
      <c r="S88" s="13">
        <f>SUM(Table32[[#This Row],[Female ( age less than 17)]:[Male ( More than 18)2]])</f>
        <v>0</v>
      </c>
      <c r="T88" s="10"/>
      <c r="U88" s="10"/>
      <c r="V88" s="10"/>
      <c r="W88" s="10"/>
      <c r="X88" s="10"/>
      <c r="Z88" s="1"/>
      <c r="AB88" s="1"/>
      <c r="AF88" s="1"/>
      <c r="AJ88" s="1"/>
      <c r="AL88" s="1"/>
    </row>
    <row r="89" spans="1:38" ht="13.8" x14ac:dyDescent="0.25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1"/>
      <c r="M89" s="11"/>
      <c r="N89" s="12"/>
      <c r="O89" s="12"/>
      <c r="P89" s="10"/>
      <c r="Q89" s="10"/>
      <c r="R89" s="10"/>
      <c r="S89" s="13">
        <f>SUM(Table32[[#This Row],[Female ( age less than 17)]:[Male ( More than 18)2]])</f>
        <v>0</v>
      </c>
      <c r="T89" s="10"/>
      <c r="U89" s="10"/>
      <c r="V89" s="10"/>
      <c r="W89" s="10"/>
      <c r="X89" s="10"/>
      <c r="Z89" s="1"/>
      <c r="AB89" s="1"/>
      <c r="AF89" s="1"/>
      <c r="AJ89" s="1"/>
      <c r="AL89" s="1"/>
    </row>
    <row r="90" spans="1:38" ht="13.8" x14ac:dyDescent="0.25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1"/>
      <c r="M90" s="11"/>
      <c r="N90" s="12"/>
      <c r="O90" s="12"/>
      <c r="P90" s="10"/>
      <c r="Q90" s="10"/>
      <c r="R90" s="10"/>
      <c r="S90" s="13">
        <f>SUM(Table32[[#This Row],[Female ( age less than 17)]:[Male ( More than 18)2]])</f>
        <v>0</v>
      </c>
      <c r="T90" s="10"/>
      <c r="U90" s="10"/>
      <c r="V90" s="10"/>
      <c r="W90" s="10"/>
      <c r="X90" s="10"/>
      <c r="Z90" s="1"/>
      <c r="AB90" s="1"/>
      <c r="AF90" s="1"/>
      <c r="AJ90" s="1"/>
      <c r="AL90" s="1"/>
    </row>
    <row r="91" spans="1:38" ht="13.8" x14ac:dyDescent="0.25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1"/>
      <c r="M91" s="11"/>
      <c r="N91" s="12"/>
      <c r="O91" s="12"/>
      <c r="P91" s="10"/>
      <c r="Q91" s="10"/>
      <c r="R91" s="10"/>
      <c r="S91" s="13">
        <f>SUM(Table32[[#This Row],[Female ( age less than 17)]:[Male ( More than 18)2]])</f>
        <v>0</v>
      </c>
      <c r="T91" s="10"/>
      <c r="U91" s="10"/>
      <c r="V91" s="10"/>
      <c r="W91" s="10"/>
      <c r="X91" s="10"/>
      <c r="Z91" s="1"/>
      <c r="AB91" s="1"/>
      <c r="AF91" s="1"/>
      <c r="AJ91" s="1"/>
      <c r="AL91" s="1"/>
    </row>
    <row r="92" spans="1:38" ht="13.8" x14ac:dyDescent="0.25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1"/>
      <c r="M92" s="11"/>
      <c r="N92" s="12"/>
      <c r="O92" s="12"/>
      <c r="P92" s="10"/>
      <c r="Q92" s="10"/>
      <c r="R92" s="10"/>
      <c r="S92" s="13">
        <f>SUM(Table32[[#This Row],[Female ( age less than 17)]:[Male ( More than 18)2]])</f>
        <v>0</v>
      </c>
      <c r="T92" s="10"/>
      <c r="U92" s="10"/>
      <c r="V92" s="10"/>
      <c r="W92" s="10"/>
      <c r="X92" s="10"/>
      <c r="Z92" s="1"/>
      <c r="AB92" s="1"/>
      <c r="AF92" s="1"/>
      <c r="AJ92" s="1"/>
      <c r="AL92" s="1"/>
    </row>
    <row r="93" spans="1:38" ht="13.8" x14ac:dyDescent="0.25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1"/>
      <c r="M93" s="11"/>
      <c r="N93" s="12"/>
      <c r="O93" s="12"/>
      <c r="P93" s="10"/>
      <c r="Q93" s="10"/>
      <c r="R93" s="10"/>
      <c r="S93" s="13">
        <f>SUM(Table32[[#This Row],[Female ( age less than 17)]:[Male ( More than 18)2]])</f>
        <v>0</v>
      </c>
      <c r="T93" s="10"/>
      <c r="U93" s="10"/>
      <c r="V93" s="10"/>
      <c r="W93" s="10"/>
      <c r="X93" s="10"/>
      <c r="Z93" s="1"/>
      <c r="AB93" s="1"/>
      <c r="AF93" s="1"/>
      <c r="AJ93" s="1"/>
      <c r="AL93" s="1"/>
    </row>
    <row r="94" spans="1:38" ht="13.8" x14ac:dyDescent="0.25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1"/>
      <c r="M94" s="11"/>
      <c r="N94" s="12"/>
      <c r="O94" s="12"/>
      <c r="P94" s="10"/>
      <c r="Q94" s="10"/>
      <c r="R94" s="10"/>
      <c r="S94" s="13">
        <f>SUM(Table32[[#This Row],[Female ( age less than 17)]:[Male ( More than 18)2]])</f>
        <v>0</v>
      </c>
      <c r="T94" s="10"/>
      <c r="U94" s="10"/>
      <c r="V94" s="10"/>
      <c r="W94" s="10"/>
      <c r="X94" s="10"/>
      <c r="Z94" s="1"/>
      <c r="AB94" s="1"/>
      <c r="AF94" s="1"/>
      <c r="AJ94" s="1"/>
      <c r="AL94" s="1"/>
    </row>
    <row r="95" spans="1:38" ht="13.8" x14ac:dyDescent="0.25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1"/>
      <c r="M95" s="11"/>
      <c r="N95" s="12"/>
      <c r="O95" s="12"/>
      <c r="P95" s="10"/>
      <c r="Q95" s="10"/>
      <c r="R95" s="10"/>
      <c r="S95" s="13">
        <f>SUM(Table32[[#This Row],[Female ( age less than 17)]:[Male ( More than 18)2]])</f>
        <v>0</v>
      </c>
      <c r="T95" s="10"/>
      <c r="U95" s="10"/>
      <c r="V95" s="10"/>
      <c r="W95" s="10"/>
      <c r="X95" s="10"/>
      <c r="Z95" s="1"/>
      <c r="AB95" s="1"/>
      <c r="AF95" s="1"/>
      <c r="AJ95" s="1"/>
      <c r="AL95" s="1"/>
    </row>
    <row r="96" spans="1:38" ht="13.8" x14ac:dyDescent="0.25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1"/>
      <c r="M96" s="11"/>
      <c r="N96" s="12"/>
      <c r="O96" s="12"/>
      <c r="P96" s="10"/>
      <c r="Q96" s="10"/>
      <c r="R96" s="10"/>
      <c r="S96" s="13">
        <f>SUM(Table32[[#This Row],[Female ( age less than 17)]:[Male ( More than 18)2]])</f>
        <v>0</v>
      </c>
      <c r="T96" s="10"/>
      <c r="U96" s="10"/>
      <c r="V96" s="10"/>
      <c r="W96" s="10"/>
      <c r="X96" s="10"/>
      <c r="Z96" s="1"/>
      <c r="AB96" s="1"/>
      <c r="AF96" s="1"/>
      <c r="AJ96" s="1"/>
      <c r="AL96" s="1"/>
    </row>
    <row r="97" spans="1:38" ht="13.8" x14ac:dyDescent="0.25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1"/>
      <c r="M97" s="11"/>
      <c r="N97" s="12"/>
      <c r="O97" s="12"/>
      <c r="P97" s="10"/>
      <c r="Q97" s="10"/>
      <c r="R97" s="10"/>
      <c r="S97" s="13">
        <f>SUM(Table32[[#This Row],[Female ( age less than 17)]:[Male ( More than 18)2]])</f>
        <v>0</v>
      </c>
      <c r="T97" s="10"/>
      <c r="U97" s="10"/>
      <c r="V97" s="10"/>
      <c r="W97" s="10"/>
      <c r="X97" s="10"/>
      <c r="Z97" s="1"/>
      <c r="AB97" s="1"/>
      <c r="AF97" s="1"/>
      <c r="AJ97" s="1"/>
      <c r="AL97" s="1"/>
    </row>
    <row r="98" spans="1:38" ht="13.8" x14ac:dyDescent="0.25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1"/>
      <c r="M98" s="11"/>
      <c r="N98" s="12"/>
      <c r="O98" s="12"/>
      <c r="P98" s="10"/>
      <c r="Q98" s="10"/>
      <c r="R98" s="10"/>
      <c r="S98" s="13">
        <f>SUM(Table32[[#This Row],[Female ( age less than 17)]:[Male ( More than 18)2]])</f>
        <v>0</v>
      </c>
      <c r="T98" s="10"/>
      <c r="U98" s="10"/>
      <c r="V98" s="10"/>
      <c r="W98" s="10"/>
      <c r="X98" s="10"/>
      <c r="Z98" s="1"/>
      <c r="AB98" s="1"/>
      <c r="AF98" s="1"/>
      <c r="AJ98" s="1"/>
      <c r="AL98" s="1"/>
    </row>
    <row r="99" spans="1:38" ht="13.8" x14ac:dyDescent="0.25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1"/>
      <c r="M99" s="11"/>
      <c r="N99" s="12"/>
      <c r="O99" s="12"/>
      <c r="P99" s="10"/>
      <c r="Q99" s="10"/>
      <c r="R99" s="10"/>
      <c r="S99" s="13">
        <f>SUM(Table32[[#This Row],[Female ( age less than 17)]:[Male ( More than 18)2]])</f>
        <v>0</v>
      </c>
      <c r="T99" s="10"/>
      <c r="U99" s="10"/>
      <c r="V99" s="10"/>
      <c r="W99" s="10"/>
      <c r="X99" s="10"/>
      <c r="Z99" s="1"/>
      <c r="AB99" s="1"/>
      <c r="AF99" s="1"/>
      <c r="AJ99" s="1"/>
      <c r="AL99" s="1"/>
    </row>
    <row r="100" spans="1:38" ht="13.8" x14ac:dyDescent="0.25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1"/>
      <c r="M100" s="11"/>
      <c r="N100" s="12"/>
      <c r="O100" s="12"/>
      <c r="P100" s="10"/>
      <c r="Q100" s="10"/>
      <c r="R100" s="10"/>
      <c r="S100" s="13">
        <f>SUM(Table32[[#This Row],[Female ( age less than 17)]:[Male ( More than 18)2]])</f>
        <v>0</v>
      </c>
      <c r="T100" s="10"/>
      <c r="U100" s="10"/>
      <c r="V100" s="10"/>
      <c r="W100" s="10"/>
      <c r="X100" s="10"/>
      <c r="Z100" s="1"/>
      <c r="AB100" s="1"/>
      <c r="AF100" s="1"/>
      <c r="AJ100" s="1"/>
      <c r="AL100" s="1"/>
    </row>
    <row r="101" spans="1:38" ht="13.8" x14ac:dyDescent="0.25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1"/>
      <c r="M101" s="11"/>
      <c r="N101" s="12"/>
      <c r="O101" s="12"/>
      <c r="P101" s="10"/>
      <c r="Q101" s="10"/>
      <c r="R101" s="10"/>
      <c r="S101" s="13">
        <f>SUM(Table32[[#This Row],[Female ( age less than 17)]:[Male ( More than 18)2]])</f>
        <v>0</v>
      </c>
      <c r="T101" s="10"/>
      <c r="U101" s="10"/>
      <c r="V101" s="10"/>
      <c r="W101" s="10"/>
      <c r="X101" s="10"/>
      <c r="Z101" s="1"/>
      <c r="AB101" s="1"/>
      <c r="AF101" s="1"/>
      <c r="AJ101" s="1"/>
      <c r="AL101" s="1"/>
    </row>
    <row r="102" spans="1:38" ht="13.8" x14ac:dyDescent="0.25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1"/>
      <c r="M102" s="11"/>
      <c r="N102" s="12"/>
      <c r="O102" s="12"/>
      <c r="P102" s="10"/>
      <c r="Q102" s="10"/>
      <c r="R102" s="10"/>
      <c r="S102" s="13">
        <f>SUM(Table32[[#This Row],[Female ( age less than 17)]:[Male ( More than 18)2]])</f>
        <v>0</v>
      </c>
      <c r="T102" s="10"/>
      <c r="U102" s="10"/>
      <c r="V102" s="10"/>
      <c r="W102" s="10"/>
      <c r="X102" s="10"/>
      <c r="Z102" s="1"/>
      <c r="AB102" s="1"/>
      <c r="AF102" s="1"/>
      <c r="AJ102" s="1"/>
      <c r="AL102" s="1"/>
    </row>
    <row r="103" spans="1:38" ht="13.8" x14ac:dyDescent="0.25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1"/>
      <c r="M103" s="11"/>
      <c r="N103" s="12"/>
      <c r="O103" s="12"/>
      <c r="P103" s="10"/>
      <c r="Q103" s="10"/>
      <c r="R103" s="10"/>
      <c r="S103" s="13">
        <f>SUM(Table32[[#This Row],[Female ( age less than 17)]:[Male ( More than 18)2]])</f>
        <v>0</v>
      </c>
      <c r="T103" s="10"/>
      <c r="U103" s="10"/>
      <c r="V103" s="10"/>
      <c r="W103" s="10"/>
      <c r="X103" s="10"/>
      <c r="Z103" s="1"/>
      <c r="AB103" s="1"/>
      <c r="AF103" s="1"/>
      <c r="AJ103" s="1"/>
      <c r="AL103" s="1"/>
    </row>
    <row r="104" spans="1:38" ht="13.8" x14ac:dyDescent="0.25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1"/>
      <c r="M104" s="11"/>
      <c r="N104" s="12"/>
      <c r="O104" s="12"/>
      <c r="P104" s="10"/>
      <c r="Q104" s="10"/>
      <c r="R104" s="10"/>
      <c r="S104" s="13">
        <f>SUM(Table32[[#This Row],[Female ( age less than 17)]:[Male ( More than 18)2]])</f>
        <v>0</v>
      </c>
      <c r="T104" s="10"/>
      <c r="U104" s="10"/>
      <c r="V104" s="10"/>
      <c r="W104" s="10"/>
      <c r="X104" s="10"/>
      <c r="Z104" s="1"/>
      <c r="AB104" s="1"/>
      <c r="AF104" s="1"/>
      <c r="AJ104" s="1"/>
      <c r="AL104" s="1"/>
    </row>
    <row r="105" spans="1:38" ht="13.8" x14ac:dyDescent="0.25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1"/>
      <c r="M105" s="11"/>
      <c r="N105" s="12"/>
      <c r="O105" s="12"/>
      <c r="P105" s="10"/>
      <c r="Q105" s="10"/>
      <c r="R105" s="10"/>
      <c r="S105" s="13">
        <f>SUM(Table32[[#This Row],[Female ( age less than 17)]:[Male ( More than 18)2]])</f>
        <v>0</v>
      </c>
      <c r="T105" s="10"/>
      <c r="U105" s="10"/>
      <c r="V105" s="10"/>
      <c r="W105" s="10"/>
      <c r="X105" s="10"/>
      <c r="Z105" s="1"/>
      <c r="AB105" s="1"/>
      <c r="AF105" s="1"/>
      <c r="AJ105" s="1"/>
      <c r="AL105" s="1"/>
    </row>
    <row r="106" spans="1:38" ht="13.8" x14ac:dyDescent="0.25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1"/>
      <c r="M106" s="11"/>
      <c r="N106" s="12"/>
      <c r="O106" s="12"/>
      <c r="P106" s="10"/>
      <c r="Q106" s="10"/>
      <c r="R106" s="10"/>
      <c r="S106" s="13">
        <f>SUM(Table32[[#This Row],[Female ( age less than 17)]:[Male ( More than 18)2]])</f>
        <v>0</v>
      </c>
      <c r="T106" s="10"/>
      <c r="U106" s="10"/>
      <c r="V106" s="10"/>
      <c r="W106" s="10"/>
      <c r="X106" s="10"/>
      <c r="Z106" s="1"/>
      <c r="AB106" s="1"/>
      <c r="AF106" s="1"/>
      <c r="AJ106" s="1"/>
      <c r="AL106" s="1"/>
    </row>
    <row r="107" spans="1:38" ht="13.8" x14ac:dyDescent="0.25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1"/>
      <c r="M107" s="11"/>
      <c r="N107" s="12"/>
      <c r="O107" s="12"/>
      <c r="P107" s="10"/>
      <c r="Q107" s="10"/>
      <c r="R107" s="10"/>
      <c r="S107" s="13">
        <f>SUM(Table32[[#This Row],[Female ( age less than 17)]:[Male ( More than 18)2]])</f>
        <v>0</v>
      </c>
      <c r="T107" s="10"/>
      <c r="U107" s="10"/>
      <c r="V107" s="10"/>
      <c r="W107" s="10"/>
      <c r="X107" s="10"/>
      <c r="Z107" s="1"/>
      <c r="AB107" s="1"/>
      <c r="AF107" s="1"/>
      <c r="AJ107" s="1"/>
      <c r="AL107" s="1"/>
    </row>
    <row r="108" spans="1:38" ht="13.8" x14ac:dyDescent="0.25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1"/>
      <c r="M108" s="11"/>
      <c r="N108" s="12"/>
      <c r="O108" s="12"/>
      <c r="P108" s="10"/>
      <c r="Q108" s="10"/>
      <c r="R108" s="10"/>
      <c r="S108" s="13">
        <f>SUM(Table32[[#This Row],[Female ( age less than 17)]:[Male ( More than 18)2]])</f>
        <v>0</v>
      </c>
      <c r="T108" s="10"/>
      <c r="U108" s="10"/>
      <c r="V108" s="10"/>
      <c r="W108" s="10"/>
      <c r="X108" s="10"/>
      <c r="Z108" s="1"/>
      <c r="AB108" s="1"/>
      <c r="AF108" s="1"/>
      <c r="AJ108" s="1"/>
      <c r="AL108" s="1"/>
    </row>
    <row r="109" spans="1:38" ht="13.8" x14ac:dyDescent="0.25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1"/>
      <c r="M109" s="11"/>
      <c r="N109" s="12"/>
      <c r="O109" s="12"/>
      <c r="P109" s="10"/>
      <c r="Q109" s="10"/>
      <c r="R109" s="10"/>
      <c r="S109" s="13">
        <f>SUM(Table32[[#This Row],[Female ( age less than 17)]:[Male ( More than 18)2]])</f>
        <v>0</v>
      </c>
      <c r="T109" s="10"/>
      <c r="U109" s="10"/>
      <c r="V109" s="10"/>
      <c r="W109" s="10"/>
      <c r="X109" s="10"/>
      <c r="Z109" s="1"/>
      <c r="AB109" s="1"/>
      <c r="AF109" s="1"/>
      <c r="AJ109" s="1"/>
      <c r="AL109" s="1"/>
    </row>
    <row r="110" spans="1:38" ht="13.8" x14ac:dyDescent="0.25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1"/>
      <c r="M110" s="11"/>
      <c r="N110" s="12"/>
      <c r="O110" s="12"/>
      <c r="P110" s="10"/>
      <c r="Q110" s="10"/>
      <c r="R110" s="10"/>
      <c r="S110" s="13">
        <f>SUM(Table32[[#This Row],[Female ( age less than 17)]:[Male ( More than 18)2]])</f>
        <v>0</v>
      </c>
      <c r="T110" s="10"/>
      <c r="U110" s="10"/>
      <c r="V110" s="10"/>
      <c r="W110" s="10"/>
      <c r="X110" s="10"/>
      <c r="Z110" s="1"/>
      <c r="AB110" s="1"/>
      <c r="AF110" s="1"/>
      <c r="AJ110" s="1"/>
      <c r="AL110" s="1"/>
    </row>
    <row r="111" spans="1:38" ht="13.8" x14ac:dyDescent="0.25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1"/>
      <c r="M111" s="11"/>
      <c r="N111" s="12"/>
      <c r="O111" s="12"/>
      <c r="P111" s="10"/>
      <c r="Q111" s="10"/>
      <c r="R111" s="10"/>
      <c r="S111" s="13">
        <f>SUM(Table32[[#This Row],[Female ( age less than 17)]:[Male ( More than 18)2]])</f>
        <v>0</v>
      </c>
      <c r="T111" s="10"/>
      <c r="U111" s="10"/>
      <c r="V111" s="10"/>
      <c r="W111" s="10"/>
      <c r="X111" s="10"/>
      <c r="Z111" s="1"/>
      <c r="AB111" s="1"/>
      <c r="AF111" s="1"/>
      <c r="AJ111" s="1"/>
      <c r="AL111" s="1"/>
    </row>
    <row r="112" spans="1:38" ht="13.8" x14ac:dyDescent="0.25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1"/>
      <c r="M112" s="11"/>
      <c r="N112" s="12"/>
      <c r="O112" s="12"/>
      <c r="P112" s="10"/>
      <c r="Q112" s="10"/>
      <c r="R112" s="10"/>
      <c r="S112" s="13">
        <f>SUM(Table32[[#This Row],[Female ( age less than 17)]:[Male ( More than 18)2]])</f>
        <v>0</v>
      </c>
      <c r="T112" s="10"/>
      <c r="U112" s="10"/>
      <c r="V112" s="10"/>
      <c r="W112" s="10"/>
      <c r="X112" s="10"/>
      <c r="Z112" s="1"/>
      <c r="AB112" s="1"/>
      <c r="AF112" s="1"/>
      <c r="AJ112" s="1"/>
      <c r="AL112" s="1"/>
    </row>
    <row r="113" spans="1:38" ht="13.8" x14ac:dyDescent="0.25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1"/>
      <c r="M113" s="11"/>
      <c r="N113" s="12"/>
      <c r="O113" s="12"/>
      <c r="P113" s="10"/>
      <c r="Q113" s="10"/>
      <c r="R113" s="10"/>
      <c r="S113" s="13">
        <f>SUM(Table32[[#This Row],[Female ( age less than 17)]:[Male ( More than 18)2]])</f>
        <v>0</v>
      </c>
      <c r="T113" s="10"/>
      <c r="U113" s="10"/>
      <c r="V113" s="10"/>
      <c r="W113" s="10"/>
      <c r="X113" s="10"/>
      <c r="Z113" s="1"/>
      <c r="AB113" s="1"/>
      <c r="AF113" s="1"/>
      <c r="AJ113" s="1"/>
      <c r="AL113" s="1"/>
    </row>
    <row r="114" spans="1:38" ht="13.8" x14ac:dyDescent="0.25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1"/>
      <c r="M114" s="11"/>
      <c r="N114" s="12"/>
      <c r="O114" s="12"/>
      <c r="P114" s="10"/>
      <c r="Q114" s="10"/>
      <c r="R114" s="10"/>
      <c r="S114" s="13">
        <f>SUM(Table32[[#This Row],[Female ( age less than 17)]:[Male ( More than 18)2]])</f>
        <v>0</v>
      </c>
      <c r="T114" s="10"/>
      <c r="U114" s="10"/>
      <c r="V114" s="10"/>
      <c r="W114" s="10"/>
      <c r="X114" s="10"/>
      <c r="Z114" s="1"/>
      <c r="AB114" s="1"/>
      <c r="AF114" s="1"/>
      <c r="AJ114" s="1"/>
      <c r="AL114" s="1"/>
    </row>
    <row r="115" spans="1:38" ht="13.8" x14ac:dyDescent="0.25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1"/>
      <c r="M115" s="11"/>
      <c r="N115" s="12"/>
      <c r="O115" s="12"/>
      <c r="P115" s="10"/>
      <c r="Q115" s="10"/>
      <c r="R115" s="10"/>
      <c r="S115" s="13">
        <f>SUM(Table32[[#This Row],[Female ( age less than 17)]:[Male ( More than 18)2]])</f>
        <v>0</v>
      </c>
      <c r="T115" s="10"/>
      <c r="U115" s="10"/>
      <c r="V115" s="10"/>
      <c r="W115" s="10"/>
      <c r="X115" s="10"/>
      <c r="Z115" s="1"/>
      <c r="AB115" s="1"/>
      <c r="AF115" s="1"/>
      <c r="AJ115" s="1"/>
      <c r="AL115" s="1"/>
    </row>
    <row r="116" spans="1:38" ht="13.8" x14ac:dyDescent="0.25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1"/>
      <c r="M116" s="11"/>
      <c r="N116" s="12"/>
      <c r="O116" s="12"/>
      <c r="P116" s="10"/>
      <c r="Q116" s="10"/>
      <c r="R116" s="10"/>
      <c r="S116" s="13">
        <f>SUM(Table32[[#This Row],[Female ( age less than 17)]:[Male ( More than 18)2]])</f>
        <v>0</v>
      </c>
      <c r="T116" s="10"/>
      <c r="U116" s="10"/>
      <c r="V116" s="10"/>
      <c r="W116" s="10"/>
      <c r="X116" s="10"/>
      <c r="Z116" s="1"/>
      <c r="AB116" s="1"/>
      <c r="AF116" s="1"/>
      <c r="AJ116" s="1"/>
      <c r="AL116" s="1"/>
    </row>
    <row r="117" spans="1:38" ht="13.8" x14ac:dyDescent="0.25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1"/>
      <c r="M117" s="11"/>
      <c r="N117" s="12"/>
      <c r="O117" s="12"/>
      <c r="P117" s="10"/>
      <c r="Q117" s="10"/>
      <c r="R117" s="10"/>
      <c r="S117" s="13">
        <f>SUM(Table32[[#This Row],[Female ( age less than 17)]:[Male ( More than 18)2]])</f>
        <v>0</v>
      </c>
      <c r="T117" s="10"/>
      <c r="U117" s="10"/>
      <c r="V117" s="10"/>
      <c r="W117" s="10"/>
      <c r="X117" s="10"/>
      <c r="Z117" s="1"/>
      <c r="AB117" s="1"/>
      <c r="AF117" s="1"/>
      <c r="AJ117" s="1"/>
      <c r="AL117" s="1"/>
    </row>
    <row r="118" spans="1:38" ht="13.8" x14ac:dyDescent="0.25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1"/>
      <c r="M118" s="11"/>
      <c r="N118" s="12"/>
      <c r="O118" s="12"/>
      <c r="P118" s="10"/>
      <c r="Q118" s="10"/>
      <c r="R118" s="10"/>
      <c r="S118" s="13">
        <f>SUM(Table32[[#This Row],[Female ( age less than 17)]:[Male ( More than 18)2]])</f>
        <v>0</v>
      </c>
      <c r="T118" s="10"/>
      <c r="U118" s="10"/>
      <c r="V118" s="10"/>
      <c r="W118" s="10"/>
      <c r="X118" s="10"/>
      <c r="Z118" s="1"/>
      <c r="AB118" s="1"/>
      <c r="AF118" s="1"/>
      <c r="AJ118" s="1"/>
      <c r="AL118" s="1"/>
    </row>
    <row r="119" spans="1:38" ht="13.8" x14ac:dyDescent="0.25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1"/>
      <c r="M119" s="11"/>
      <c r="N119" s="12"/>
      <c r="O119" s="12"/>
      <c r="P119" s="10"/>
      <c r="Q119" s="10"/>
      <c r="R119" s="10"/>
      <c r="S119" s="13">
        <f>SUM(Table32[[#This Row],[Female ( age less than 17)]:[Male ( More than 18)2]])</f>
        <v>0</v>
      </c>
      <c r="T119" s="10"/>
      <c r="U119" s="10"/>
      <c r="V119" s="10"/>
      <c r="W119" s="10"/>
      <c r="X119" s="10"/>
      <c r="Z119" s="1"/>
      <c r="AB119" s="1"/>
      <c r="AF119" s="1"/>
      <c r="AJ119" s="1"/>
      <c r="AL119" s="1"/>
    </row>
    <row r="120" spans="1:38" ht="13.8" x14ac:dyDescent="0.25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1"/>
      <c r="M120" s="11"/>
      <c r="N120" s="12"/>
      <c r="O120" s="12"/>
      <c r="P120" s="10"/>
      <c r="Q120" s="10"/>
      <c r="R120" s="10"/>
      <c r="S120" s="13">
        <f>SUM(Table32[[#This Row],[Female ( age less than 17)]:[Male ( More than 18)2]])</f>
        <v>0</v>
      </c>
      <c r="T120" s="10"/>
      <c r="U120" s="10"/>
      <c r="V120" s="10"/>
      <c r="W120" s="10"/>
      <c r="X120" s="10"/>
      <c r="Z120" s="1"/>
      <c r="AB120" s="1"/>
      <c r="AF120" s="1"/>
      <c r="AJ120" s="1"/>
      <c r="AL120" s="1"/>
    </row>
    <row r="121" spans="1:38" ht="13.8" x14ac:dyDescent="0.25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1"/>
      <c r="M121" s="11"/>
      <c r="N121" s="12"/>
      <c r="O121" s="12"/>
      <c r="P121" s="10"/>
      <c r="Q121" s="10"/>
      <c r="R121" s="10"/>
      <c r="S121" s="13">
        <f>SUM(Table32[[#This Row],[Female ( age less than 17)]:[Male ( More than 18)2]])</f>
        <v>0</v>
      </c>
      <c r="T121" s="10"/>
      <c r="U121" s="10"/>
      <c r="V121" s="10"/>
      <c r="W121" s="10"/>
      <c r="X121" s="10"/>
      <c r="Z121" s="1"/>
      <c r="AB121" s="1"/>
      <c r="AF121" s="1"/>
      <c r="AJ121" s="1"/>
      <c r="AL121" s="1"/>
    </row>
    <row r="122" spans="1:38" ht="13.8" x14ac:dyDescent="0.25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1"/>
      <c r="M122" s="11"/>
      <c r="N122" s="12"/>
      <c r="O122" s="12"/>
      <c r="P122" s="10"/>
      <c r="Q122" s="10"/>
      <c r="R122" s="10"/>
      <c r="S122" s="13">
        <f>SUM(Table32[[#This Row],[Female ( age less than 17)]:[Male ( More than 18)2]])</f>
        <v>0</v>
      </c>
      <c r="T122" s="10"/>
      <c r="U122" s="10"/>
      <c r="V122" s="10"/>
      <c r="W122" s="10"/>
      <c r="X122" s="10"/>
      <c r="Z122" s="1"/>
      <c r="AB122" s="1"/>
      <c r="AF122" s="1"/>
      <c r="AJ122" s="1"/>
      <c r="AL122" s="1"/>
    </row>
    <row r="123" spans="1:38" ht="13.8" x14ac:dyDescent="0.25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1"/>
      <c r="M123" s="11"/>
      <c r="N123" s="12"/>
      <c r="O123" s="12"/>
      <c r="P123" s="10"/>
      <c r="Q123" s="10"/>
      <c r="R123" s="10"/>
      <c r="S123" s="13">
        <f>SUM(Table32[[#This Row],[Female ( age less than 17)]:[Male ( More than 18)2]])</f>
        <v>0</v>
      </c>
      <c r="T123" s="10"/>
      <c r="U123" s="10"/>
      <c r="V123" s="10"/>
      <c r="W123" s="10"/>
      <c r="X123" s="10"/>
      <c r="Z123" s="1"/>
      <c r="AB123" s="1"/>
      <c r="AF123" s="1"/>
      <c r="AJ123" s="1"/>
      <c r="AL123" s="1"/>
    </row>
    <row r="124" spans="1:38" ht="13.8" x14ac:dyDescent="0.25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1"/>
      <c r="M124" s="11"/>
      <c r="N124" s="12"/>
      <c r="O124" s="12"/>
      <c r="P124" s="10"/>
      <c r="Q124" s="10"/>
      <c r="R124" s="10"/>
      <c r="S124" s="13">
        <f>SUM(Table32[[#This Row],[Female ( age less than 17)]:[Male ( More than 18)2]])</f>
        <v>0</v>
      </c>
      <c r="T124" s="10"/>
      <c r="U124" s="10"/>
      <c r="V124" s="10"/>
      <c r="W124" s="10"/>
      <c r="X124" s="10"/>
      <c r="Z124" s="1"/>
      <c r="AB124" s="1"/>
      <c r="AF124" s="1"/>
      <c r="AJ124" s="1"/>
      <c r="AL124" s="1"/>
    </row>
    <row r="125" spans="1:38" ht="13.8" x14ac:dyDescent="0.25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1"/>
      <c r="M125" s="11"/>
      <c r="N125" s="12"/>
      <c r="O125" s="12"/>
      <c r="P125" s="10"/>
      <c r="Q125" s="10"/>
      <c r="R125" s="10"/>
      <c r="S125" s="13">
        <f>SUM(Table32[[#This Row],[Female ( age less than 17)]:[Male ( More than 18)2]])</f>
        <v>0</v>
      </c>
      <c r="T125" s="10"/>
      <c r="U125" s="10"/>
      <c r="V125" s="10"/>
      <c r="W125" s="10"/>
      <c r="X125" s="10"/>
      <c r="Z125" s="1"/>
      <c r="AB125" s="1"/>
      <c r="AF125" s="1"/>
      <c r="AJ125" s="1"/>
      <c r="AL125" s="1"/>
    </row>
    <row r="126" spans="1:38" ht="13.8" x14ac:dyDescent="0.25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1"/>
      <c r="M126" s="11"/>
      <c r="N126" s="12"/>
      <c r="O126" s="12"/>
      <c r="P126" s="10"/>
      <c r="Q126" s="10"/>
      <c r="R126" s="10"/>
      <c r="S126" s="13">
        <f>SUM(Table32[[#This Row],[Female ( age less than 17)]:[Male ( More than 18)2]])</f>
        <v>0</v>
      </c>
      <c r="T126" s="10"/>
      <c r="U126" s="10"/>
      <c r="V126" s="10"/>
      <c r="W126" s="10"/>
      <c r="X126" s="10"/>
      <c r="Z126" s="1"/>
      <c r="AB126" s="1"/>
      <c r="AF126" s="1"/>
      <c r="AJ126" s="1"/>
      <c r="AL126" s="1"/>
    </row>
    <row r="127" spans="1:38" ht="13.8" x14ac:dyDescent="0.25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1"/>
      <c r="M127" s="11"/>
      <c r="N127" s="12"/>
      <c r="O127" s="12"/>
      <c r="P127" s="10"/>
      <c r="Q127" s="10"/>
      <c r="R127" s="10"/>
      <c r="S127" s="13">
        <f>SUM(Table32[[#This Row],[Female ( age less than 17)]:[Male ( More than 18)2]])</f>
        <v>0</v>
      </c>
      <c r="T127" s="10"/>
      <c r="U127" s="10"/>
      <c r="V127" s="10"/>
      <c r="W127" s="10"/>
      <c r="X127" s="10"/>
      <c r="Z127" s="1"/>
      <c r="AB127" s="1"/>
      <c r="AF127" s="1"/>
      <c r="AJ127" s="1"/>
      <c r="AL127" s="1"/>
    </row>
    <row r="128" spans="1:38" ht="13.8" x14ac:dyDescent="0.25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1"/>
      <c r="M128" s="11"/>
      <c r="N128" s="12"/>
      <c r="O128" s="12"/>
      <c r="P128" s="10"/>
      <c r="Q128" s="10"/>
      <c r="R128" s="10"/>
      <c r="S128" s="13">
        <f>SUM(Table32[[#This Row],[Female ( age less than 17)]:[Male ( More than 18)2]])</f>
        <v>0</v>
      </c>
      <c r="T128" s="10"/>
      <c r="U128" s="10"/>
      <c r="V128" s="10"/>
      <c r="W128" s="10"/>
      <c r="X128" s="10"/>
      <c r="Z128" s="1"/>
      <c r="AB128" s="1"/>
      <c r="AF128" s="1"/>
      <c r="AJ128" s="1"/>
      <c r="AL128" s="1"/>
    </row>
    <row r="129" spans="1:38" ht="13.8" x14ac:dyDescent="0.25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1"/>
      <c r="M129" s="11"/>
      <c r="N129" s="12"/>
      <c r="O129" s="12"/>
      <c r="P129" s="10"/>
      <c r="Q129" s="10"/>
      <c r="R129" s="10"/>
      <c r="S129" s="13">
        <f>SUM(Table32[[#This Row],[Female ( age less than 17)]:[Male ( More than 18)2]])</f>
        <v>0</v>
      </c>
      <c r="T129" s="10"/>
      <c r="U129" s="10"/>
      <c r="V129" s="10"/>
      <c r="W129" s="10"/>
      <c r="X129" s="10"/>
      <c r="Z129" s="1"/>
      <c r="AB129" s="1"/>
      <c r="AF129" s="1"/>
      <c r="AJ129" s="1"/>
      <c r="AL129" s="1"/>
    </row>
    <row r="130" spans="1:38" ht="13.8" x14ac:dyDescent="0.25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1"/>
      <c r="M130" s="11"/>
      <c r="N130" s="12"/>
      <c r="O130" s="12"/>
      <c r="P130" s="10"/>
      <c r="Q130" s="10"/>
      <c r="R130" s="10"/>
      <c r="S130" s="13">
        <f>SUM(Table32[[#This Row],[Female ( age less than 17)]:[Male ( More than 18)2]])</f>
        <v>0</v>
      </c>
      <c r="T130" s="10"/>
      <c r="U130" s="10"/>
      <c r="V130" s="10"/>
      <c r="W130" s="10"/>
      <c r="X130" s="10"/>
      <c r="Z130" s="1"/>
      <c r="AB130" s="1"/>
      <c r="AF130" s="1"/>
      <c r="AJ130" s="1"/>
      <c r="AL130" s="1"/>
    </row>
    <row r="131" spans="1:38" ht="13.8" x14ac:dyDescent="0.25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1"/>
      <c r="M131" s="11"/>
      <c r="N131" s="12"/>
      <c r="O131" s="12"/>
      <c r="P131" s="10"/>
      <c r="Q131" s="10"/>
      <c r="R131" s="10"/>
      <c r="S131" s="13">
        <f>SUM(Table32[[#This Row],[Female ( age less than 17)]:[Male ( More than 18)2]])</f>
        <v>0</v>
      </c>
      <c r="T131" s="10"/>
      <c r="U131" s="10"/>
      <c r="V131" s="10"/>
      <c r="W131" s="10"/>
      <c r="X131" s="10"/>
      <c r="Z131" s="1"/>
      <c r="AB131" s="1"/>
      <c r="AF131" s="1"/>
      <c r="AJ131" s="1"/>
      <c r="AL131" s="1"/>
    </row>
    <row r="132" spans="1:38" ht="13.8" x14ac:dyDescent="0.25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1"/>
      <c r="M132" s="11"/>
      <c r="N132" s="12"/>
      <c r="O132" s="12"/>
      <c r="P132" s="10"/>
      <c r="Q132" s="10"/>
      <c r="R132" s="10"/>
      <c r="S132" s="13">
        <f>SUM(Table32[[#This Row],[Female ( age less than 17)]:[Male ( More than 18)2]])</f>
        <v>0</v>
      </c>
      <c r="T132" s="10"/>
      <c r="U132" s="10"/>
      <c r="V132" s="10"/>
      <c r="W132" s="10"/>
      <c r="X132" s="10"/>
      <c r="Z132" s="1"/>
      <c r="AB132" s="1"/>
      <c r="AF132" s="1"/>
      <c r="AJ132" s="1"/>
      <c r="AL132" s="1"/>
    </row>
    <row r="133" spans="1:38" ht="13.8" x14ac:dyDescent="0.25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1"/>
      <c r="M133" s="11"/>
      <c r="N133" s="12"/>
      <c r="O133" s="12"/>
      <c r="P133" s="10"/>
      <c r="Q133" s="10"/>
      <c r="R133" s="10"/>
      <c r="S133" s="13">
        <f>SUM(Table32[[#This Row],[Female ( age less than 17)]:[Male ( More than 18)2]])</f>
        <v>0</v>
      </c>
      <c r="T133" s="10"/>
      <c r="U133" s="10"/>
      <c r="V133" s="10"/>
      <c r="W133" s="10"/>
      <c r="X133" s="10"/>
      <c r="Z133" s="1"/>
      <c r="AB133" s="1"/>
      <c r="AF133" s="1"/>
      <c r="AJ133" s="1"/>
      <c r="AL133" s="1"/>
    </row>
    <row r="134" spans="1:38" ht="13.8" x14ac:dyDescent="0.25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1"/>
      <c r="M134" s="11"/>
      <c r="N134" s="12"/>
      <c r="O134" s="12"/>
      <c r="P134" s="10"/>
      <c r="Q134" s="10"/>
      <c r="R134" s="10"/>
      <c r="S134" s="13">
        <f>SUM(Table32[[#This Row],[Female ( age less than 17)]:[Male ( More than 18)2]])</f>
        <v>0</v>
      </c>
      <c r="T134" s="10"/>
      <c r="U134" s="10"/>
      <c r="V134" s="10"/>
      <c r="W134" s="10"/>
      <c r="X134" s="10"/>
      <c r="Z134" s="1"/>
      <c r="AB134" s="1"/>
      <c r="AF134" s="1"/>
      <c r="AJ134" s="1"/>
      <c r="AL134" s="1"/>
    </row>
    <row r="135" spans="1:38" ht="13.8" x14ac:dyDescent="0.25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1"/>
      <c r="M135" s="11"/>
      <c r="N135" s="12"/>
      <c r="O135" s="12"/>
      <c r="P135" s="10"/>
      <c r="Q135" s="10"/>
      <c r="R135" s="10"/>
      <c r="S135" s="13">
        <f>SUM(Table32[[#This Row],[Female ( age less than 17)]:[Male ( More than 18)2]])</f>
        <v>0</v>
      </c>
      <c r="T135" s="10"/>
      <c r="U135" s="10"/>
      <c r="V135" s="10"/>
      <c r="W135" s="10"/>
      <c r="X135" s="10"/>
      <c r="Z135" s="1"/>
      <c r="AB135" s="1"/>
      <c r="AF135" s="1"/>
      <c r="AJ135" s="1"/>
      <c r="AL135" s="1"/>
    </row>
    <row r="136" spans="1:38" ht="13.8" x14ac:dyDescent="0.25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1"/>
      <c r="M136" s="11"/>
      <c r="N136" s="12"/>
      <c r="O136" s="12"/>
      <c r="P136" s="10"/>
      <c r="Q136" s="10"/>
      <c r="R136" s="10"/>
      <c r="S136" s="13">
        <f>SUM(Table32[[#This Row],[Female ( age less than 17)]:[Male ( More than 18)2]])</f>
        <v>0</v>
      </c>
      <c r="T136" s="10"/>
      <c r="U136" s="10"/>
      <c r="V136" s="10"/>
      <c r="W136" s="10"/>
      <c r="X136" s="10"/>
      <c r="Z136" s="1"/>
      <c r="AB136" s="1"/>
      <c r="AF136" s="1"/>
      <c r="AJ136" s="1"/>
      <c r="AL136" s="1"/>
    </row>
    <row r="137" spans="1:38" ht="13.8" x14ac:dyDescent="0.25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1"/>
      <c r="M137" s="11"/>
      <c r="N137" s="12"/>
      <c r="O137" s="12"/>
      <c r="P137" s="10"/>
      <c r="Q137" s="10"/>
      <c r="R137" s="10"/>
      <c r="S137" s="13">
        <f>SUM(Table32[[#This Row],[Female ( age less than 17)]:[Male ( More than 18)2]])</f>
        <v>0</v>
      </c>
      <c r="T137" s="10"/>
      <c r="U137" s="10"/>
      <c r="V137" s="10"/>
      <c r="W137" s="10"/>
      <c r="X137" s="10"/>
      <c r="Z137" s="1"/>
      <c r="AB137" s="1"/>
      <c r="AF137" s="1"/>
      <c r="AJ137" s="1"/>
      <c r="AL137" s="1"/>
    </row>
    <row r="138" spans="1:38" ht="13.8" x14ac:dyDescent="0.25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1"/>
      <c r="M138" s="11"/>
      <c r="N138" s="12"/>
      <c r="O138" s="12"/>
      <c r="P138" s="10"/>
      <c r="Q138" s="10"/>
      <c r="R138" s="10"/>
      <c r="S138" s="13">
        <f>SUM(Table32[[#This Row],[Female ( age less than 17)]:[Male ( More than 18)2]])</f>
        <v>0</v>
      </c>
      <c r="T138" s="10"/>
      <c r="U138" s="10"/>
      <c r="V138" s="10"/>
      <c r="W138" s="10"/>
      <c r="X138" s="10"/>
      <c r="Z138" s="1"/>
      <c r="AB138" s="1"/>
      <c r="AF138" s="1"/>
      <c r="AJ138" s="1"/>
      <c r="AL138" s="1"/>
    </row>
    <row r="139" spans="1:38" ht="13.8" x14ac:dyDescent="0.25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1"/>
      <c r="M139" s="11"/>
      <c r="N139" s="12"/>
      <c r="O139" s="12"/>
      <c r="P139" s="10"/>
      <c r="Q139" s="10"/>
      <c r="R139" s="10"/>
      <c r="S139" s="13">
        <f>SUM(Table32[[#This Row],[Female ( age less than 17)]:[Male ( More than 18)2]])</f>
        <v>0</v>
      </c>
      <c r="T139" s="10"/>
      <c r="U139" s="10"/>
      <c r="V139" s="10"/>
      <c r="W139" s="10"/>
      <c r="X139" s="10"/>
      <c r="Z139" s="1"/>
      <c r="AB139" s="1"/>
      <c r="AF139" s="1"/>
      <c r="AJ139" s="1"/>
      <c r="AL139" s="1"/>
    </row>
    <row r="140" spans="1:38" ht="13.8" x14ac:dyDescent="0.25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1"/>
      <c r="M140" s="11"/>
      <c r="N140" s="12"/>
      <c r="O140" s="12"/>
      <c r="P140" s="10"/>
      <c r="Q140" s="10"/>
      <c r="R140" s="10"/>
      <c r="S140" s="13">
        <f>SUM(Table32[[#This Row],[Female ( age less than 17)]:[Male ( More than 18)2]])</f>
        <v>0</v>
      </c>
      <c r="T140" s="10"/>
      <c r="U140" s="10"/>
      <c r="V140" s="10"/>
      <c r="W140" s="10"/>
      <c r="X140" s="10"/>
      <c r="Z140" s="1"/>
      <c r="AB140" s="1"/>
      <c r="AF140" s="1"/>
      <c r="AJ140" s="1"/>
      <c r="AL140" s="1"/>
    </row>
    <row r="141" spans="1:38" ht="13.8" x14ac:dyDescent="0.25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1"/>
      <c r="M141" s="11"/>
      <c r="N141" s="12"/>
      <c r="O141" s="12"/>
      <c r="P141" s="10"/>
      <c r="Q141" s="10"/>
      <c r="R141" s="10"/>
      <c r="S141" s="13">
        <f>SUM(Table32[[#This Row],[Female ( age less than 17)]:[Male ( More than 18)2]])</f>
        <v>0</v>
      </c>
      <c r="T141" s="10"/>
      <c r="U141" s="10"/>
      <c r="V141" s="10"/>
      <c r="W141" s="10"/>
      <c r="X141" s="10"/>
      <c r="Z141" s="1"/>
      <c r="AB141" s="1"/>
      <c r="AF141" s="1"/>
      <c r="AJ141" s="1"/>
      <c r="AL141" s="1"/>
    </row>
    <row r="142" spans="1:38" ht="13.8" x14ac:dyDescent="0.25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1"/>
      <c r="M142" s="11"/>
      <c r="N142" s="12"/>
      <c r="O142" s="12"/>
      <c r="P142" s="10"/>
      <c r="Q142" s="10"/>
      <c r="R142" s="10"/>
      <c r="S142" s="13">
        <f>SUM(Table32[[#This Row],[Female ( age less than 17)]:[Male ( More than 18)2]])</f>
        <v>0</v>
      </c>
      <c r="T142" s="10"/>
      <c r="U142" s="10"/>
      <c r="V142" s="10"/>
      <c r="W142" s="10"/>
      <c r="X142" s="10"/>
      <c r="Z142" s="1"/>
      <c r="AB142" s="1"/>
      <c r="AF142" s="1"/>
      <c r="AJ142" s="1"/>
      <c r="AL142" s="1"/>
    </row>
    <row r="143" spans="1:38" ht="13.8" x14ac:dyDescent="0.25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1"/>
      <c r="M143" s="11"/>
      <c r="N143" s="12"/>
      <c r="O143" s="12"/>
      <c r="P143" s="10"/>
      <c r="Q143" s="10"/>
      <c r="R143" s="10"/>
      <c r="S143" s="13">
        <f>SUM(Table32[[#This Row],[Female ( age less than 17)]:[Male ( More than 18)2]])</f>
        <v>0</v>
      </c>
      <c r="T143" s="10"/>
      <c r="U143" s="10"/>
      <c r="V143" s="10"/>
      <c r="W143" s="10"/>
      <c r="X143" s="10"/>
      <c r="Z143" s="1"/>
      <c r="AB143" s="1"/>
      <c r="AF143" s="1"/>
      <c r="AJ143" s="1"/>
      <c r="AL143" s="1"/>
    </row>
    <row r="144" spans="1:38" ht="13.8" x14ac:dyDescent="0.25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1"/>
      <c r="M144" s="11"/>
      <c r="N144" s="12"/>
      <c r="O144" s="12"/>
      <c r="P144" s="10"/>
      <c r="Q144" s="10"/>
      <c r="R144" s="10"/>
      <c r="S144" s="13">
        <f>SUM(Table32[[#This Row],[Female ( age less than 17)]:[Male ( More than 18)2]])</f>
        <v>0</v>
      </c>
      <c r="T144" s="10"/>
      <c r="U144" s="10"/>
      <c r="V144" s="10"/>
      <c r="W144" s="10"/>
      <c r="X144" s="10"/>
      <c r="Z144" s="1"/>
      <c r="AB144" s="1"/>
      <c r="AF144" s="1"/>
      <c r="AJ144" s="1"/>
      <c r="AL144" s="1"/>
    </row>
    <row r="145" spans="1:38" ht="13.8" x14ac:dyDescent="0.25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1"/>
      <c r="M145" s="11"/>
      <c r="N145" s="12"/>
      <c r="O145" s="12"/>
      <c r="P145" s="10"/>
      <c r="Q145" s="10"/>
      <c r="R145" s="10"/>
      <c r="S145" s="13">
        <f>SUM(Table32[[#This Row],[Female ( age less than 17)]:[Male ( More than 18)2]])</f>
        <v>0</v>
      </c>
      <c r="T145" s="10"/>
      <c r="U145" s="10"/>
      <c r="V145" s="10"/>
      <c r="W145" s="10"/>
      <c r="X145" s="10"/>
      <c r="Z145" s="1"/>
      <c r="AB145" s="1"/>
      <c r="AF145" s="1"/>
      <c r="AJ145" s="1"/>
      <c r="AL145" s="1"/>
    </row>
    <row r="146" spans="1:38" ht="13.8" x14ac:dyDescent="0.25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1"/>
      <c r="M146" s="11"/>
      <c r="N146" s="12"/>
      <c r="O146" s="12"/>
      <c r="P146" s="10"/>
      <c r="Q146" s="10"/>
      <c r="R146" s="10"/>
      <c r="S146" s="13">
        <f>SUM(Table32[[#This Row],[Female ( age less than 17)]:[Male ( More than 18)2]])</f>
        <v>0</v>
      </c>
      <c r="T146" s="10"/>
      <c r="U146" s="10"/>
      <c r="V146" s="10"/>
      <c r="W146" s="10"/>
      <c r="X146" s="10"/>
      <c r="Z146" s="1"/>
      <c r="AB146" s="1"/>
      <c r="AF146" s="1"/>
      <c r="AJ146" s="1"/>
      <c r="AL146" s="1"/>
    </row>
    <row r="147" spans="1:38" ht="13.8" x14ac:dyDescent="0.25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1"/>
      <c r="M147" s="11"/>
      <c r="N147" s="12"/>
      <c r="O147" s="12"/>
      <c r="P147" s="10"/>
      <c r="Q147" s="10"/>
      <c r="R147" s="10"/>
      <c r="S147" s="13">
        <f>SUM(Table32[[#This Row],[Female ( age less than 17)]:[Male ( More than 18)2]])</f>
        <v>0</v>
      </c>
      <c r="T147" s="10"/>
      <c r="U147" s="10"/>
      <c r="V147" s="10"/>
      <c r="W147" s="10"/>
      <c r="X147" s="10"/>
      <c r="Z147" s="1"/>
      <c r="AB147" s="1"/>
      <c r="AF147" s="1"/>
      <c r="AJ147" s="1"/>
      <c r="AL147" s="1"/>
    </row>
    <row r="148" spans="1:38" ht="13.8" x14ac:dyDescent="0.25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1"/>
      <c r="M148" s="11"/>
      <c r="N148" s="12"/>
      <c r="O148" s="12"/>
      <c r="P148" s="10"/>
      <c r="Q148" s="10"/>
      <c r="R148" s="10"/>
      <c r="S148" s="13">
        <f>SUM(Table32[[#This Row],[Female ( age less than 17)]:[Male ( More than 18)2]])</f>
        <v>0</v>
      </c>
      <c r="T148" s="10"/>
      <c r="U148" s="10"/>
      <c r="V148" s="10"/>
      <c r="W148" s="10"/>
      <c r="X148" s="10"/>
      <c r="Z148" s="1"/>
      <c r="AB148" s="1"/>
      <c r="AF148" s="1"/>
      <c r="AJ148" s="1"/>
      <c r="AL148" s="1"/>
    </row>
    <row r="149" spans="1:38" ht="13.8" x14ac:dyDescent="0.25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1"/>
      <c r="M149" s="11"/>
      <c r="N149" s="12"/>
      <c r="O149" s="12"/>
      <c r="P149" s="10"/>
      <c r="Q149" s="10"/>
      <c r="R149" s="10"/>
      <c r="S149" s="13">
        <f>SUM(Table32[[#This Row],[Female ( age less than 17)]:[Male ( More than 18)2]])</f>
        <v>0</v>
      </c>
      <c r="T149" s="10"/>
      <c r="U149" s="10"/>
      <c r="V149" s="10"/>
      <c r="W149" s="10"/>
      <c r="X149" s="10"/>
      <c r="Z149" s="1"/>
      <c r="AB149" s="1"/>
      <c r="AF149" s="1"/>
      <c r="AJ149" s="1"/>
      <c r="AL149" s="1"/>
    </row>
    <row r="150" spans="1:38" ht="13.8" x14ac:dyDescent="0.25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1"/>
      <c r="M150" s="11"/>
      <c r="N150" s="12"/>
      <c r="O150" s="12"/>
      <c r="P150" s="10"/>
      <c r="Q150" s="10"/>
      <c r="R150" s="10"/>
      <c r="S150" s="13">
        <f>SUM(Table32[[#This Row],[Female ( age less than 17)]:[Male ( More than 18)2]])</f>
        <v>0</v>
      </c>
      <c r="T150" s="10"/>
      <c r="U150" s="10"/>
      <c r="V150" s="10"/>
      <c r="W150" s="10"/>
      <c r="X150" s="10"/>
      <c r="Z150" s="1"/>
      <c r="AB150" s="1"/>
      <c r="AF150" s="1"/>
      <c r="AJ150" s="1"/>
      <c r="AL150" s="1"/>
    </row>
    <row r="151" spans="1:38" ht="13.8" x14ac:dyDescent="0.25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1"/>
      <c r="M151" s="11"/>
      <c r="N151" s="12"/>
      <c r="O151" s="12"/>
      <c r="P151" s="10"/>
      <c r="Q151" s="10"/>
      <c r="R151" s="10"/>
      <c r="S151" s="13">
        <f>SUM(Table32[[#This Row],[Female ( age less than 17)]:[Male ( More than 18)2]])</f>
        <v>0</v>
      </c>
      <c r="T151" s="10"/>
      <c r="U151" s="10"/>
      <c r="V151" s="10"/>
      <c r="W151" s="10"/>
      <c r="X151" s="10"/>
      <c r="Z151" s="1"/>
      <c r="AB151" s="1"/>
      <c r="AF151" s="1"/>
      <c r="AJ151" s="1"/>
      <c r="AL151" s="1"/>
    </row>
    <row r="152" spans="1:38" ht="13.8" x14ac:dyDescent="0.25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1"/>
      <c r="M152" s="11"/>
      <c r="N152" s="12"/>
      <c r="O152" s="12"/>
      <c r="P152" s="10"/>
      <c r="Q152" s="10"/>
      <c r="R152" s="10"/>
      <c r="S152" s="13">
        <f>SUM(Table32[[#This Row],[Female ( age less than 17)]:[Male ( More than 18)2]])</f>
        <v>0</v>
      </c>
      <c r="T152" s="10"/>
      <c r="U152" s="10"/>
      <c r="V152" s="10"/>
      <c r="W152" s="10"/>
      <c r="X152" s="10"/>
      <c r="Z152" s="1"/>
      <c r="AB152" s="1"/>
      <c r="AF152" s="1"/>
      <c r="AJ152" s="1"/>
      <c r="AL152" s="1"/>
    </row>
    <row r="153" spans="1:38" ht="13.8" x14ac:dyDescent="0.25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1"/>
      <c r="M153" s="11"/>
      <c r="N153" s="12"/>
      <c r="O153" s="12"/>
      <c r="P153" s="10"/>
      <c r="Q153" s="10"/>
      <c r="R153" s="10"/>
      <c r="S153" s="13">
        <f>SUM(Table32[[#This Row],[Female ( age less than 17)]:[Male ( More than 18)2]])</f>
        <v>0</v>
      </c>
      <c r="T153" s="10"/>
      <c r="U153" s="10"/>
      <c r="V153" s="10"/>
      <c r="W153" s="10"/>
      <c r="X153" s="10"/>
      <c r="Z153" s="1"/>
      <c r="AB153" s="1"/>
      <c r="AF153" s="1"/>
      <c r="AJ153" s="1"/>
      <c r="AL153" s="1"/>
    </row>
    <row r="154" spans="1:38" ht="13.8" x14ac:dyDescent="0.25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1"/>
      <c r="M154" s="11"/>
      <c r="N154" s="12"/>
      <c r="O154" s="12"/>
      <c r="P154" s="10"/>
      <c r="Q154" s="10"/>
      <c r="R154" s="10"/>
      <c r="S154" s="13">
        <f>SUM(Table32[[#This Row],[Female ( age less than 17)]:[Male ( More than 18)2]])</f>
        <v>0</v>
      </c>
      <c r="T154" s="10"/>
      <c r="U154" s="10"/>
      <c r="V154" s="10"/>
      <c r="W154" s="10"/>
      <c r="X154" s="10"/>
      <c r="Z154" s="1"/>
      <c r="AB154" s="1"/>
      <c r="AF154" s="1"/>
      <c r="AJ154" s="1"/>
      <c r="AL154" s="1"/>
    </row>
    <row r="155" spans="1:38" ht="13.8" x14ac:dyDescent="0.25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1"/>
      <c r="M155" s="11"/>
      <c r="N155" s="12"/>
      <c r="O155" s="12"/>
      <c r="P155" s="10"/>
      <c r="Q155" s="10"/>
      <c r="R155" s="10"/>
      <c r="S155" s="13">
        <f>SUM(Table32[[#This Row],[Female ( age less than 17)]:[Male ( More than 18)2]])</f>
        <v>0</v>
      </c>
      <c r="T155" s="10"/>
      <c r="U155" s="10"/>
      <c r="V155" s="10"/>
      <c r="W155" s="10"/>
      <c r="X155" s="10"/>
      <c r="Z155" s="1"/>
      <c r="AB155" s="1"/>
      <c r="AF155" s="1"/>
      <c r="AJ155" s="1"/>
      <c r="AL155" s="1"/>
    </row>
    <row r="156" spans="1:38" ht="13.8" x14ac:dyDescent="0.25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1"/>
      <c r="M156" s="11"/>
      <c r="N156" s="12"/>
      <c r="O156" s="12"/>
      <c r="P156" s="10"/>
      <c r="Q156" s="10"/>
      <c r="R156" s="10"/>
      <c r="S156" s="13">
        <f>SUM(Table32[[#This Row],[Female ( age less than 17)]:[Male ( More than 18)2]])</f>
        <v>0</v>
      </c>
      <c r="T156" s="10"/>
      <c r="U156" s="10"/>
      <c r="V156" s="10"/>
      <c r="W156" s="10"/>
      <c r="X156" s="10"/>
      <c r="Z156" s="1"/>
      <c r="AB156" s="1"/>
      <c r="AF156" s="1"/>
      <c r="AJ156" s="1"/>
      <c r="AL156" s="1"/>
    </row>
    <row r="157" spans="1:38" ht="13.8" x14ac:dyDescent="0.25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1"/>
      <c r="M157" s="11"/>
      <c r="N157" s="12"/>
      <c r="O157" s="12"/>
      <c r="P157" s="10"/>
      <c r="Q157" s="10"/>
      <c r="R157" s="10"/>
      <c r="S157" s="13">
        <f>SUM(Table32[[#This Row],[Female ( age less than 17)]:[Male ( More than 18)2]])</f>
        <v>0</v>
      </c>
      <c r="T157" s="10"/>
      <c r="U157" s="10"/>
      <c r="V157" s="10"/>
      <c r="W157" s="10"/>
      <c r="X157" s="10"/>
      <c r="Z157" s="1"/>
      <c r="AB157" s="1"/>
      <c r="AF157" s="1"/>
      <c r="AJ157" s="1"/>
      <c r="AL157" s="1"/>
    </row>
    <row r="158" spans="1:38" ht="13.8" x14ac:dyDescent="0.25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1"/>
      <c r="M158" s="11"/>
      <c r="N158" s="12"/>
      <c r="O158" s="12"/>
      <c r="P158" s="10"/>
      <c r="Q158" s="10"/>
      <c r="R158" s="10"/>
      <c r="S158" s="13">
        <f>SUM(Table32[[#This Row],[Female ( age less than 17)]:[Male ( More than 18)2]])</f>
        <v>0</v>
      </c>
      <c r="T158" s="10"/>
      <c r="U158" s="10"/>
      <c r="V158" s="10"/>
      <c r="W158" s="10"/>
      <c r="X158" s="10"/>
      <c r="Z158" s="1"/>
      <c r="AB158" s="1"/>
      <c r="AF158" s="1"/>
      <c r="AJ158" s="1"/>
      <c r="AL158" s="1"/>
    </row>
    <row r="159" spans="1:38" ht="13.8" x14ac:dyDescent="0.25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1"/>
      <c r="M159" s="11"/>
      <c r="N159" s="12"/>
      <c r="O159" s="12"/>
      <c r="P159" s="10"/>
      <c r="Q159" s="10"/>
      <c r="R159" s="10"/>
      <c r="S159" s="13">
        <f>SUM(Table32[[#This Row],[Female ( age less than 17)]:[Male ( More than 18)2]])</f>
        <v>0</v>
      </c>
      <c r="T159" s="10"/>
      <c r="U159" s="10"/>
      <c r="V159" s="10"/>
      <c r="W159" s="10"/>
      <c r="X159" s="10"/>
      <c r="Z159" s="1"/>
      <c r="AB159" s="1"/>
      <c r="AF159" s="1"/>
      <c r="AJ159" s="1"/>
      <c r="AL159" s="1"/>
    </row>
    <row r="160" spans="1:38" ht="13.8" x14ac:dyDescent="0.25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1"/>
      <c r="M160" s="11"/>
      <c r="N160" s="12"/>
      <c r="O160" s="12"/>
      <c r="P160" s="10"/>
      <c r="Q160" s="10"/>
      <c r="R160" s="10"/>
      <c r="S160" s="13">
        <f>SUM(Table32[[#This Row],[Female ( age less than 17)]:[Male ( More than 18)2]])</f>
        <v>0</v>
      </c>
      <c r="T160" s="10"/>
      <c r="U160" s="10"/>
      <c r="V160" s="10"/>
      <c r="W160" s="10"/>
      <c r="X160" s="10"/>
      <c r="Z160" s="1"/>
      <c r="AB160" s="1"/>
      <c r="AF160" s="1"/>
      <c r="AJ160" s="1"/>
      <c r="AL160" s="1"/>
    </row>
    <row r="161" spans="1:38" ht="13.8" x14ac:dyDescent="0.25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1"/>
      <c r="M161" s="11"/>
      <c r="N161" s="12"/>
      <c r="O161" s="12"/>
      <c r="P161" s="10"/>
      <c r="Q161" s="10"/>
      <c r="R161" s="10"/>
      <c r="S161" s="13">
        <f>SUM(Table32[[#This Row],[Female ( age less than 17)]:[Male ( More than 18)2]])</f>
        <v>0</v>
      </c>
      <c r="T161" s="10"/>
      <c r="U161" s="10"/>
      <c r="V161" s="10"/>
      <c r="W161" s="10"/>
      <c r="X161" s="10"/>
      <c r="Z161" s="1"/>
      <c r="AB161" s="1"/>
      <c r="AF161" s="1"/>
      <c r="AJ161" s="1"/>
      <c r="AL161" s="1"/>
    </row>
    <row r="162" spans="1:38" ht="13.8" x14ac:dyDescent="0.25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1"/>
      <c r="M162" s="11"/>
      <c r="N162" s="12"/>
      <c r="O162" s="12"/>
      <c r="P162" s="10"/>
      <c r="Q162" s="10"/>
      <c r="R162" s="10"/>
      <c r="S162" s="13">
        <f>SUM(Table32[[#This Row],[Female ( age less than 17)]:[Male ( More than 18)2]])</f>
        <v>0</v>
      </c>
      <c r="T162" s="10"/>
      <c r="U162" s="10"/>
      <c r="V162" s="10"/>
      <c r="W162" s="10"/>
      <c r="X162" s="10"/>
      <c r="Z162" s="1"/>
      <c r="AB162" s="1"/>
      <c r="AF162" s="1"/>
      <c r="AJ162" s="1"/>
      <c r="AL162" s="1"/>
    </row>
    <row r="163" spans="1:38" ht="13.8" x14ac:dyDescent="0.25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1"/>
      <c r="M163" s="11"/>
      <c r="N163" s="12"/>
      <c r="O163" s="12"/>
      <c r="P163" s="10"/>
      <c r="Q163" s="10"/>
      <c r="R163" s="10"/>
      <c r="S163" s="13">
        <f>SUM(Table32[[#This Row],[Female ( age less than 17)]:[Male ( More than 18)2]])</f>
        <v>0</v>
      </c>
      <c r="T163" s="10"/>
      <c r="U163" s="10"/>
      <c r="V163" s="10"/>
      <c r="W163" s="10"/>
      <c r="X163" s="10"/>
      <c r="Z163" s="1"/>
      <c r="AB163" s="1"/>
      <c r="AF163" s="1"/>
      <c r="AJ163" s="1"/>
      <c r="AL163" s="1"/>
    </row>
    <row r="164" spans="1:38" ht="13.8" x14ac:dyDescent="0.25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1"/>
      <c r="M164" s="11"/>
      <c r="N164" s="12"/>
      <c r="O164" s="12"/>
      <c r="P164" s="10"/>
      <c r="Q164" s="10"/>
      <c r="R164" s="10"/>
      <c r="S164" s="13">
        <f>SUM(Table32[[#This Row],[Female ( age less than 17)]:[Male ( More than 18)2]])</f>
        <v>0</v>
      </c>
      <c r="T164" s="10"/>
      <c r="U164" s="10"/>
      <c r="V164" s="10"/>
      <c r="W164" s="10"/>
      <c r="X164" s="10"/>
      <c r="Z164" s="1"/>
      <c r="AB164" s="1"/>
      <c r="AF164" s="1"/>
      <c r="AJ164" s="1"/>
      <c r="AL164" s="1"/>
    </row>
    <row r="165" spans="1:38" ht="13.8" x14ac:dyDescent="0.25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1"/>
      <c r="M165" s="11"/>
      <c r="N165" s="12"/>
      <c r="O165" s="12"/>
      <c r="P165" s="10"/>
      <c r="Q165" s="10"/>
      <c r="R165" s="10"/>
      <c r="S165" s="13">
        <f>SUM(Table32[[#This Row],[Female ( age less than 17)]:[Male ( More than 18)2]])</f>
        <v>0</v>
      </c>
      <c r="T165" s="10"/>
      <c r="U165" s="10"/>
      <c r="V165" s="10"/>
      <c r="W165" s="10"/>
      <c r="X165" s="10"/>
      <c r="Z165" s="1"/>
      <c r="AB165" s="1"/>
      <c r="AF165" s="1"/>
      <c r="AJ165" s="1"/>
      <c r="AL165" s="1"/>
    </row>
    <row r="166" spans="1:38" ht="13.8" x14ac:dyDescent="0.25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1"/>
      <c r="M166" s="11"/>
      <c r="N166" s="12"/>
      <c r="O166" s="12"/>
      <c r="P166" s="10"/>
      <c r="Q166" s="10"/>
      <c r="R166" s="10"/>
      <c r="S166" s="13">
        <f>SUM(Table32[[#This Row],[Female ( age less than 17)]:[Male ( More than 18)2]])</f>
        <v>0</v>
      </c>
      <c r="T166" s="10"/>
      <c r="U166" s="10"/>
      <c r="V166" s="10"/>
      <c r="W166" s="10"/>
      <c r="X166" s="10"/>
      <c r="Z166" s="1"/>
      <c r="AB166" s="1"/>
      <c r="AF166" s="1"/>
      <c r="AJ166" s="1"/>
      <c r="AL166" s="1"/>
    </row>
    <row r="167" spans="1:38" ht="13.8" x14ac:dyDescent="0.25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1"/>
      <c r="M167" s="11"/>
      <c r="N167" s="12"/>
      <c r="O167" s="12"/>
      <c r="P167" s="10"/>
      <c r="Q167" s="10"/>
      <c r="R167" s="10"/>
      <c r="S167" s="13">
        <f>SUM(Table32[[#This Row],[Female ( age less than 17)]:[Male ( More than 18)2]])</f>
        <v>0</v>
      </c>
      <c r="T167" s="10"/>
      <c r="U167" s="10"/>
      <c r="V167" s="10"/>
      <c r="W167" s="10"/>
      <c r="X167" s="10"/>
      <c r="Z167" s="1"/>
      <c r="AB167" s="1"/>
      <c r="AF167" s="1"/>
      <c r="AJ167" s="1"/>
      <c r="AL167" s="1"/>
    </row>
    <row r="168" spans="1:38" ht="13.8" x14ac:dyDescent="0.25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1"/>
      <c r="M168" s="11"/>
      <c r="N168" s="12"/>
      <c r="O168" s="12"/>
      <c r="P168" s="10"/>
      <c r="Q168" s="10"/>
      <c r="R168" s="10"/>
      <c r="S168" s="13">
        <f>SUM(Table32[[#This Row],[Female ( age less than 17)]:[Male ( More than 18)2]])</f>
        <v>0</v>
      </c>
      <c r="T168" s="10"/>
      <c r="U168" s="10"/>
      <c r="V168" s="10"/>
      <c r="W168" s="10"/>
      <c r="X168" s="10"/>
      <c r="Z168" s="1"/>
      <c r="AB168" s="1"/>
      <c r="AF168" s="1"/>
      <c r="AJ168" s="1"/>
      <c r="AL168" s="1"/>
    </row>
    <row r="169" spans="1:38" ht="13.8" x14ac:dyDescent="0.25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1"/>
      <c r="M169" s="11"/>
      <c r="N169" s="12"/>
      <c r="O169" s="12"/>
      <c r="P169" s="10"/>
      <c r="Q169" s="10"/>
      <c r="R169" s="10"/>
      <c r="S169" s="13">
        <f>SUM(Table32[[#This Row],[Female ( age less than 17)]:[Male ( More than 18)2]])</f>
        <v>0</v>
      </c>
      <c r="T169" s="10"/>
      <c r="U169" s="10"/>
      <c r="V169" s="10"/>
      <c r="W169" s="10"/>
      <c r="X169" s="10"/>
      <c r="Z169" s="1"/>
      <c r="AB169" s="1"/>
      <c r="AF169" s="1"/>
      <c r="AJ169" s="1"/>
      <c r="AL169" s="1"/>
    </row>
    <row r="170" spans="1:38" ht="13.8" x14ac:dyDescent="0.25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1"/>
      <c r="M170" s="11"/>
      <c r="N170" s="12"/>
      <c r="O170" s="12"/>
      <c r="P170" s="10"/>
      <c r="Q170" s="10"/>
      <c r="R170" s="10"/>
      <c r="S170" s="13">
        <f>SUM(Table32[[#This Row],[Female ( age less than 17)]:[Male ( More than 18)2]])</f>
        <v>0</v>
      </c>
      <c r="T170" s="10"/>
      <c r="U170" s="10"/>
      <c r="V170" s="10"/>
      <c r="W170" s="10"/>
      <c r="X170" s="10"/>
      <c r="Z170" s="1"/>
      <c r="AB170" s="1"/>
      <c r="AF170" s="1"/>
      <c r="AJ170" s="1"/>
      <c r="AL170" s="1"/>
    </row>
    <row r="171" spans="1:38" ht="13.8" x14ac:dyDescent="0.25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1"/>
      <c r="M171" s="11"/>
      <c r="N171" s="12"/>
      <c r="O171" s="12"/>
      <c r="P171" s="10"/>
      <c r="Q171" s="10"/>
      <c r="R171" s="10"/>
      <c r="S171" s="13">
        <f>SUM(Table32[[#This Row],[Female ( age less than 17)]:[Male ( More than 18)2]])</f>
        <v>0</v>
      </c>
      <c r="T171" s="10"/>
      <c r="U171" s="10"/>
      <c r="V171" s="10"/>
      <c r="W171" s="10"/>
      <c r="X171" s="10"/>
      <c r="Z171" s="1"/>
      <c r="AB171" s="1"/>
      <c r="AF171" s="1"/>
      <c r="AJ171" s="1"/>
      <c r="AL171" s="1"/>
    </row>
    <row r="172" spans="1:38" ht="13.8" x14ac:dyDescent="0.25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1"/>
      <c r="M172" s="11"/>
      <c r="N172" s="12"/>
      <c r="O172" s="12"/>
      <c r="P172" s="10"/>
      <c r="Q172" s="10"/>
      <c r="R172" s="10"/>
      <c r="S172" s="13">
        <f>SUM(Table32[[#This Row],[Female ( age less than 17)]:[Male ( More than 18)2]])</f>
        <v>0</v>
      </c>
      <c r="T172" s="10"/>
      <c r="U172" s="10"/>
      <c r="V172" s="10"/>
      <c r="W172" s="10"/>
      <c r="X172" s="10"/>
      <c r="Z172" s="1"/>
      <c r="AB172" s="1"/>
      <c r="AF172" s="1"/>
      <c r="AJ172" s="1"/>
      <c r="AL172" s="1"/>
    </row>
    <row r="173" spans="1:38" ht="13.8" x14ac:dyDescent="0.25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1"/>
      <c r="M173" s="11"/>
      <c r="N173" s="12"/>
      <c r="O173" s="12"/>
      <c r="P173" s="10"/>
      <c r="Q173" s="10"/>
      <c r="R173" s="10"/>
      <c r="S173" s="13">
        <f>SUM(Table32[[#This Row],[Female ( age less than 17)]:[Male ( More than 18)2]])</f>
        <v>0</v>
      </c>
      <c r="T173" s="10"/>
      <c r="U173" s="10"/>
      <c r="V173" s="10"/>
      <c r="W173" s="10"/>
      <c r="X173" s="10"/>
      <c r="Z173" s="1"/>
      <c r="AB173" s="1"/>
      <c r="AF173" s="1"/>
      <c r="AJ173" s="1"/>
      <c r="AL173" s="1"/>
    </row>
    <row r="174" spans="1:38" ht="13.8" x14ac:dyDescent="0.25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1"/>
      <c r="M174" s="11"/>
      <c r="N174" s="12"/>
      <c r="O174" s="12"/>
      <c r="P174" s="10"/>
      <c r="Q174" s="10"/>
      <c r="R174" s="10"/>
      <c r="S174" s="13">
        <f>SUM(Table32[[#This Row],[Female ( age less than 17)]:[Male ( More than 18)2]])</f>
        <v>0</v>
      </c>
      <c r="T174" s="10"/>
      <c r="U174" s="10"/>
      <c r="V174" s="10"/>
      <c r="W174" s="10"/>
      <c r="X174" s="10"/>
      <c r="Z174" s="1"/>
      <c r="AB174" s="1"/>
      <c r="AF174" s="1"/>
      <c r="AJ174" s="1"/>
      <c r="AL174" s="1"/>
    </row>
    <row r="175" spans="1:38" ht="13.8" x14ac:dyDescent="0.25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1"/>
      <c r="M175" s="11"/>
      <c r="N175" s="12"/>
      <c r="O175" s="12"/>
      <c r="P175" s="10"/>
      <c r="Q175" s="10"/>
      <c r="R175" s="10"/>
      <c r="S175" s="13">
        <f>SUM(Table32[[#This Row],[Female ( age less than 17)]:[Male ( More than 18)2]])</f>
        <v>0</v>
      </c>
      <c r="T175" s="10"/>
      <c r="U175" s="10"/>
      <c r="V175" s="10"/>
      <c r="W175" s="10"/>
      <c r="X175" s="10"/>
      <c r="Z175" s="1"/>
      <c r="AB175" s="1"/>
      <c r="AF175" s="1"/>
      <c r="AJ175" s="1"/>
      <c r="AL175" s="1"/>
    </row>
    <row r="176" spans="1:38" ht="13.8" x14ac:dyDescent="0.25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1"/>
      <c r="M176" s="11"/>
      <c r="N176" s="12"/>
      <c r="O176" s="12"/>
      <c r="P176" s="10"/>
      <c r="Q176" s="10"/>
      <c r="R176" s="10"/>
      <c r="S176" s="13">
        <f>SUM(Table32[[#This Row],[Female ( age less than 17)]:[Male ( More than 18)2]])</f>
        <v>0</v>
      </c>
      <c r="T176" s="10"/>
      <c r="U176" s="10"/>
      <c r="V176" s="10"/>
      <c r="W176" s="10"/>
      <c r="X176" s="10"/>
      <c r="Z176" s="1"/>
      <c r="AB176" s="1"/>
      <c r="AF176" s="1"/>
      <c r="AJ176" s="1"/>
      <c r="AL176" s="1"/>
    </row>
    <row r="177" spans="1:38" ht="13.8" x14ac:dyDescent="0.25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1"/>
      <c r="M177" s="11"/>
      <c r="N177" s="12"/>
      <c r="O177" s="12"/>
      <c r="P177" s="10"/>
      <c r="Q177" s="10"/>
      <c r="R177" s="10"/>
      <c r="S177" s="13">
        <f>SUM(Table32[[#This Row],[Female ( age less than 17)]:[Male ( More than 18)2]])</f>
        <v>0</v>
      </c>
      <c r="T177" s="10"/>
      <c r="U177" s="10"/>
      <c r="V177" s="10"/>
      <c r="W177" s="10"/>
      <c r="X177" s="10"/>
      <c r="Z177" s="1"/>
      <c r="AB177" s="1"/>
      <c r="AF177" s="1"/>
      <c r="AJ177" s="1"/>
      <c r="AL177" s="1"/>
    </row>
    <row r="178" spans="1:38" ht="13.8" x14ac:dyDescent="0.25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1"/>
      <c r="M178" s="11"/>
      <c r="N178" s="12"/>
      <c r="O178" s="12"/>
      <c r="P178" s="10"/>
      <c r="Q178" s="10"/>
      <c r="R178" s="10"/>
      <c r="S178" s="13">
        <f>SUM(Table32[[#This Row],[Female ( age less than 17)]:[Male ( More than 18)2]])</f>
        <v>0</v>
      </c>
      <c r="T178" s="10"/>
      <c r="U178" s="10"/>
      <c r="V178" s="10"/>
      <c r="W178" s="10"/>
      <c r="X178" s="10"/>
      <c r="Z178" s="1"/>
      <c r="AB178" s="1"/>
      <c r="AF178" s="1"/>
      <c r="AJ178" s="1"/>
      <c r="AL178" s="1"/>
    </row>
    <row r="179" spans="1:38" ht="13.8" x14ac:dyDescent="0.25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1"/>
      <c r="M179" s="11"/>
      <c r="N179" s="12"/>
      <c r="O179" s="12"/>
      <c r="P179" s="10"/>
      <c r="Q179" s="10"/>
      <c r="R179" s="10"/>
      <c r="S179" s="13">
        <f>SUM(Table32[[#This Row],[Female ( age less than 17)]:[Male ( More than 18)2]])</f>
        <v>0</v>
      </c>
      <c r="T179" s="10"/>
      <c r="U179" s="10"/>
      <c r="V179" s="10"/>
      <c r="W179" s="10"/>
      <c r="X179" s="10"/>
      <c r="Z179" s="1"/>
      <c r="AB179" s="1"/>
      <c r="AF179" s="1"/>
      <c r="AJ179" s="1"/>
      <c r="AL179" s="1"/>
    </row>
    <row r="180" spans="1:38" ht="13.8" x14ac:dyDescent="0.25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1"/>
      <c r="M180" s="11"/>
      <c r="N180" s="12"/>
      <c r="O180" s="12"/>
      <c r="P180" s="10"/>
      <c r="Q180" s="10"/>
      <c r="R180" s="10"/>
      <c r="S180" s="13">
        <f>SUM(Table32[[#This Row],[Female ( age less than 17)]:[Male ( More than 18)2]])</f>
        <v>0</v>
      </c>
      <c r="T180" s="10"/>
      <c r="U180" s="10"/>
      <c r="V180" s="10"/>
      <c r="W180" s="10"/>
      <c r="X180" s="10"/>
      <c r="Z180" s="1"/>
      <c r="AB180" s="1"/>
      <c r="AF180" s="1"/>
      <c r="AJ180" s="1"/>
      <c r="AL180" s="1"/>
    </row>
    <row r="181" spans="1:38" ht="13.8" x14ac:dyDescent="0.25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1"/>
      <c r="M181" s="11"/>
      <c r="N181" s="12"/>
      <c r="O181" s="12"/>
      <c r="P181" s="10"/>
      <c r="Q181" s="10"/>
      <c r="R181" s="10"/>
      <c r="S181" s="13">
        <f>SUM(Table32[[#This Row],[Female ( age less than 17)]:[Male ( More than 18)2]])</f>
        <v>0</v>
      </c>
      <c r="T181" s="10"/>
      <c r="U181" s="10"/>
      <c r="V181" s="10"/>
      <c r="W181" s="10"/>
      <c r="X181" s="10"/>
      <c r="Z181" s="1"/>
      <c r="AB181" s="1"/>
      <c r="AF181" s="1"/>
      <c r="AJ181" s="1"/>
      <c r="AL181" s="1"/>
    </row>
    <row r="182" spans="1:38" ht="13.8" x14ac:dyDescent="0.25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1"/>
      <c r="M182" s="11"/>
      <c r="N182" s="12"/>
      <c r="O182" s="12"/>
      <c r="P182" s="10"/>
      <c r="Q182" s="10"/>
      <c r="R182" s="10"/>
      <c r="S182" s="13">
        <f>SUM(Table32[[#This Row],[Female ( age less than 17)]:[Male ( More than 18)2]])</f>
        <v>0</v>
      </c>
      <c r="T182" s="10"/>
      <c r="U182" s="10"/>
      <c r="V182" s="10"/>
      <c r="W182" s="10"/>
      <c r="X182" s="10"/>
      <c r="Z182" s="1"/>
      <c r="AB182" s="1"/>
      <c r="AF182" s="1"/>
      <c r="AJ182" s="1"/>
      <c r="AL182" s="1"/>
    </row>
    <row r="183" spans="1:38" ht="13.8" x14ac:dyDescent="0.25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1"/>
      <c r="M183" s="11"/>
      <c r="N183" s="12"/>
      <c r="O183" s="12"/>
      <c r="P183" s="10"/>
      <c r="Q183" s="10"/>
      <c r="R183" s="10"/>
      <c r="S183" s="13">
        <f>SUM(Table32[[#This Row],[Female ( age less than 17)]:[Male ( More than 18)2]])</f>
        <v>0</v>
      </c>
      <c r="T183" s="10"/>
      <c r="U183" s="10"/>
      <c r="V183" s="10"/>
      <c r="W183" s="10"/>
      <c r="X183" s="10"/>
      <c r="Z183" s="1"/>
      <c r="AB183" s="1"/>
      <c r="AF183" s="1"/>
      <c r="AJ183" s="1"/>
      <c r="AL183" s="1"/>
    </row>
    <row r="184" spans="1:38" ht="13.8" x14ac:dyDescent="0.25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1"/>
      <c r="M184" s="11"/>
      <c r="N184" s="12"/>
      <c r="O184" s="12"/>
      <c r="P184" s="10"/>
      <c r="Q184" s="10"/>
      <c r="R184" s="10"/>
      <c r="S184" s="13">
        <f>SUM(Table32[[#This Row],[Female ( age less than 17)]:[Male ( More than 18)2]])</f>
        <v>0</v>
      </c>
      <c r="T184" s="10"/>
      <c r="U184" s="10"/>
      <c r="V184" s="10"/>
      <c r="W184" s="10"/>
      <c r="X184" s="10"/>
      <c r="Z184" s="1"/>
      <c r="AB184" s="1"/>
      <c r="AF184" s="1"/>
      <c r="AJ184" s="1"/>
      <c r="AL184" s="1"/>
    </row>
    <row r="185" spans="1:38" ht="13.8" x14ac:dyDescent="0.25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1"/>
      <c r="M185" s="11"/>
      <c r="N185" s="12"/>
      <c r="O185" s="12"/>
      <c r="P185" s="10"/>
      <c r="Q185" s="10"/>
      <c r="R185" s="10"/>
      <c r="S185" s="13">
        <f>SUM(Table32[[#This Row],[Female ( age less than 17)]:[Male ( More than 18)2]])</f>
        <v>0</v>
      </c>
      <c r="T185" s="10"/>
      <c r="U185" s="10"/>
      <c r="V185" s="10"/>
      <c r="W185" s="10"/>
      <c r="X185" s="10"/>
      <c r="Z185" s="1"/>
      <c r="AB185" s="1"/>
      <c r="AF185" s="1"/>
      <c r="AJ185" s="1"/>
      <c r="AL185" s="1"/>
    </row>
    <row r="186" spans="1:38" ht="13.8" x14ac:dyDescent="0.25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1"/>
      <c r="M186" s="11"/>
      <c r="N186" s="12"/>
      <c r="O186" s="12"/>
      <c r="P186" s="10"/>
      <c r="Q186" s="10"/>
      <c r="R186" s="10"/>
      <c r="S186" s="13">
        <f>SUM(Table32[[#This Row],[Female ( age less than 17)]:[Male ( More than 18)2]])</f>
        <v>0</v>
      </c>
      <c r="T186" s="10"/>
      <c r="U186" s="10"/>
      <c r="V186" s="10"/>
      <c r="W186" s="10"/>
      <c r="X186" s="10"/>
      <c r="Z186" s="1"/>
      <c r="AB186" s="1"/>
      <c r="AF186" s="1"/>
      <c r="AJ186" s="1"/>
      <c r="AL186" s="1"/>
    </row>
    <row r="187" spans="1:38" ht="13.8" x14ac:dyDescent="0.25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1"/>
      <c r="M187" s="11"/>
      <c r="N187" s="12"/>
      <c r="O187" s="12"/>
      <c r="P187" s="10"/>
      <c r="Q187" s="10"/>
      <c r="R187" s="10"/>
      <c r="S187" s="13">
        <f>SUM(Table32[[#This Row],[Female ( age less than 17)]:[Male ( More than 18)2]])</f>
        <v>0</v>
      </c>
      <c r="T187" s="10"/>
      <c r="U187" s="10"/>
      <c r="V187" s="10"/>
      <c r="W187" s="10"/>
      <c r="X187" s="10"/>
      <c r="Z187" s="1"/>
      <c r="AB187" s="1"/>
      <c r="AF187" s="1"/>
      <c r="AJ187" s="1"/>
      <c r="AL187" s="1"/>
    </row>
    <row r="188" spans="1:38" ht="13.8" x14ac:dyDescent="0.25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1"/>
      <c r="M188" s="11"/>
      <c r="N188" s="12"/>
      <c r="O188" s="12"/>
      <c r="P188" s="10"/>
      <c r="Q188" s="10"/>
      <c r="R188" s="10"/>
      <c r="S188" s="13">
        <f>SUM(Table32[[#This Row],[Female ( age less than 17)]:[Male ( More than 18)2]])</f>
        <v>0</v>
      </c>
      <c r="T188" s="10"/>
      <c r="U188" s="10"/>
      <c r="V188" s="10"/>
      <c r="W188" s="10"/>
      <c r="X188" s="10"/>
      <c r="Z188" s="1"/>
      <c r="AB188" s="1"/>
      <c r="AF188" s="1"/>
      <c r="AJ188" s="1"/>
      <c r="AL188" s="1"/>
    </row>
    <row r="189" spans="1:38" ht="13.8" x14ac:dyDescent="0.25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1"/>
      <c r="M189" s="11"/>
      <c r="N189" s="12"/>
      <c r="O189" s="12"/>
      <c r="P189" s="10"/>
      <c r="Q189" s="10"/>
      <c r="R189" s="10"/>
      <c r="S189" s="13">
        <f>SUM(Table32[[#This Row],[Female ( age less than 17)]:[Male ( More than 18)2]])</f>
        <v>0</v>
      </c>
      <c r="T189" s="10"/>
      <c r="U189" s="10"/>
      <c r="V189" s="10"/>
      <c r="W189" s="10"/>
      <c r="X189" s="10"/>
      <c r="Z189" s="1"/>
      <c r="AB189" s="1"/>
      <c r="AF189" s="1"/>
      <c r="AJ189" s="1"/>
      <c r="AL189" s="1"/>
    </row>
    <row r="190" spans="1:38" ht="13.8" x14ac:dyDescent="0.25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1"/>
      <c r="M190" s="11"/>
      <c r="N190" s="12"/>
      <c r="O190" s="12"/>
      <c r="P190" s="10"/>
      <c r="Q190" s="10"/>
      <c r="R190" s="10"/>
      <c r="S190" s="13">
        <f>SUM(Table32[[#This Row],[Female ( age less than 17)]:[Male ( More than 18)2]])</f>
        <v>0</v>
      </c>
      <c r="T190" s="10"/>
      <c r="U190" s="10"/>
      <c r="V190" s="10"/>
      <c r="W190" s="10"/>
      <c r="X190" s="10"/>
      <c r="Z190" s="1"/>
      <c r="AB190" s="1"/>
      <c r="AF190" s="1"/>
      <c r="AJ190" s="1"/>
      <c r="AL190" s="1"/>
    </row>
    <row r="191" spans="1:38" ht="13.8" x14ac:dyDescent="0.25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1"/>
      <c r="M191" s="11"/>
      <c r="N191" s="12"/>
      <c r="O191" s="12"/>
      <c r="P191" s="10"/>
      <c r="Q191" s="10"/>
      <c r="R191" s="10"/>
      <c r="S191" s="13">
        <f>SUM(Table32[[#This Row],[Female ( age less than 17)]:[Male ( More than 18)2]])</f>
        <v>0</v>
      </c>
      <c r="T191" s="10"/>
      <c r="U191" s="10"/>
      <c r="V191" s="10"/>
      <c r="W191" s="10"/>
      <c r="X191" s="10"/>
      <c r="Z191" s="1"/>
      <c r="AB191" s="1"/>
      <c r="AF191" s="1"/>
      <c r="AJ191" s="1"/>
      <c r="AL191" s="1"/>
    </row>
    <row r="192" spans="1:38" ht="13.8" x14ac:dyDescent="0.25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1"/>
      <c r="M192" s="11"/>
      <c r="N192" s="12"/>
      <c r="O192" s="12"/>
      <c r="P192" s="10"/>
      <c r="Q192" s="10"/>
      <c r="R192" s="10"/>
      <c r="S192" s="13">
        <f>SUM(Table32[[#This Row],[Female ( age less than 17)]:[Male ( More than 18)2]])</f>
        <v>0</v>
      </c>
      <c r="T192" s="10"/>
      <c r="U192" s="10"/>
      <c r="V192" s="10"/>
      <c r="W192" s="10"/>
      <c r="X192" s="10"/>
      <c r="Z192" s="1"/>
      <c r="AB192" s="1"/>
      <c r="AF192" s="1"/>
      <c r="AJ192" s="1"/>
      <c r="AL192" s="1"/>
    </row>
    <row r="193" spans="1:38" ht="13.8" x14ac:dyDescent="0.25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1"/>
      <c r="M193" s="11"/>
      <c r="N193" s="12"/>
      <c r="O193" s="12"/>
      <c r="P193" s="10"/>
      <c r="Q193" s="10"/>
      <c r="R193" s="10"/>
      <c r="S193" s="13">
        <f>SUM(Table32[[#This Row],[Female ( age less than 17)]:[Male ( More than 18)2]])</f>
        <v>0</v>
      </c>
      <c r="T193" s="10"/>
      <c r="U193" s="10"/>
      <c r="V193" s="10"/>
      <c r="W193" s="10"/>
      <c r="X193" s="10"/>
      <c r="Z193" s="1"/>
      <c r="AB193" s="1"/>
      <c r="AF193" s="1"/>
      <c r="AJ193" s="1"/>
      <c r="AL193" s="1"/>
    </row>
    <row r="194" spans="1:38" ht="13.8" x14ac:dyDescent="0.25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1"/>
      <c r="M194" s="11"/>
      <c r="N194" s="12"/>
      <c r="O194" s="12"/>
      <c r="P194" s="10"/>
      <c r="Q194" s="10"/>
      <c r="R194" s="10"/>
      <c r="S194" s="13">
        <f>SUM(Table32[[#This Row],[Female ( age less than 17)]:[Male ( More than 18)2]])</f>
        <v>0</v>
      </c>
      <c r="T194" s="10"/>
      <c r="U194" s="10"/>
      <c r="V194" s="10"/>
      <c r="W194" s="10"/>
      <c r="X194" s="10"/>
      <c r="Z194" s="1"/>
      <c r="AB194" s="1"/>
      <c r="AF194" s="1"/>
      <c r="AJ194" s="1"/>
      <c r="AL194" s="1"/>
    </row>
    <row r="195" spans="1:38" ht="13.8" x14ac:dyDescent="0.25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1"/>
      <c r="M195" s="11"/>
      <c r="N195" s="12"/>
      <c r="O195" s="12"/>
      <c r="P195" s="10"/>
      <c r="Q195" s="10"/>
      <c r="R195" s="10"/>
      <c r="S195" s="13">
        <f>SUM(Table32[[#This Row],[Female ( age less than 17)]:[Male ( More than 18)2]])</f>
        <v>0</v>
      </c>
      <c r="T195" s="10"/>
      <c r="U195" s="10"/>
      <c r="V195" s="10"/>
      <c r="W195" s="10"/>
      <c r="X195" s="10"/>
      <c r="Z195" s="1"/>
      <c r="AB195" s="1"/>
      <c r="AF195" s="1"/>
      <c r="AJ195" s="1"/>
      <c r="AL195" s="1"/>
    </row>
    <row r="196" spans="1:38" ht="13.8" x14ac:dyDescent="0.25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1"/>
      <c r="M196" s="11"/>
      <c r="N196" s="12"/>
      <c r="O196" s="12"/>
      <c r="P196" s="10"/>
      <c r="Q196" s="10"/>
      <c r="R196" s="10"/>
      <c r="S196" s="13">
        <f>SUM(Table32[[#This Row],[Female ( age less than 17)]:[Male ( More than 18)2]])</f>
        <v>0</v>
      </c>
      <c r="T196" s="10"/>
      <c r="U196" s="10"/>
      <c r="V196" s="10"/>
      <c r="W196" s="10"/>
      <c r="X196" s="10"/>
      <c r="Z196" s="1"/>
      <c r="AB196" s="1"/>
      <c r="AF196" s="1"/>
      <c r="AJ196" s="1"/>
      <c r="AL196" s="1"/>
    </row>
    <row r="197" spans="1:38" ht="13.8" x14ac:dyDescent="0.25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1"/>
      <c r="M197" s="11"/>
      <c r="N197" s="12"/>
      <c r="O197" s="12"/>
      <c r="P197" s="10"/>
      <c r="Q197" s="10"/>
      <c r="R197" s="10"/>
      <c r="S197" s="13">
        <f>SUM(Table32[[#This Row],[Female ( age less than 17)]:[Male ( More than 18)2]])</f>
        <v>0</v>
      </c>
      <c r="T197" s="10"/>
      <c r="U197" s="10"/>
      <c r="V197" s="10"/>
      <c r="W197" s="10"/>
      <c r="X197" s="10"/>
      <c r="Z197" s="1"/>
      <c r="AB197" s="1"/>
      <c r="AF197" s="1"/>
      <c r="AJ197" s="1"/>
      <c r="AL197" s="1"/>
    </row>
    <row r="198" spans="1:38" ht="13.8" x14ac:dyDescent="0.25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1"/>
      <c r="M198" s="11"/>
      <c r="N198" s="12"/>
      <c r="O198" s="12"/>
      <c r="P198" s="10"/>
      <c r="Q198" s="10"/>
      <c r="R198" s="10"/>
      <c r="S198" s="13">
        <f>SUM(Table32[[#This Row],[Female ( age less than 17)]:[Male ( More than 18)2]])</f>
        <v>0</v>
      </c>
      <c r="T198" s="10"/>
      <c r="U198" s="10"/>
      <c r="V198" s="10"/>
      <c r="W198" s="10"/>
      <c r="X198" s="10"/>
      <c r="Z198" s="1"/>
      <c r="AB198" s="1"/>
      <c r="AF198" s="1"/>
      <c r="AJ198" s="1"/>
      <c r="AL198" s="1"/>
    </row>
    <row r="199" spans="1:38" ht="13.8" x14ac:dyDescent="0.25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1"/>
      <c r="M199" s="11"/>
      <c r="N199" s="12"/>
      <c r="O199" s="12"/>
      <c r="P199" s="10"/>
      <c r="Q199" s="10"/>
      <c r="R199" s="10"/>
      <c r="S199" s="13">
        <f>SUM(Table32[[#This Row],[Female ( age less than 17)]:[Male ( More than 18)2]])</f>
        <v>0</v>
      </c>
      <c r="T199" s="10"/>
      <c r="U199" s="10"/>
      <c r="V199" s="10"/>
      <c r="W199" s="10"/>
      <c r="X199" s="10"/>
      <c r="Z199" s="1"/>
      <c r="AB199" s="1"/>
      <c r="AF199" s="1"/>
      <c r="AJ199" s="1"/>
      <c r="AL199" s="1"/>
    </row>
    <row r="200" spans="1:38" ht="13.8" x14ac:dyDescent="0.25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1"/>
      <c r="M200" s="11"/>
      <c r="N200" s="12"/>
      <c r="O200" s="12"/>
      <c r="P200" s="10"/>
      <c r="Q200" s="10"/>
      <c r="R200" s="10"/>
      <c r="S200" s="13">
        <f>SUM(Table32[[#This Row],[Female ( age less than 17)]:[Male ( More than 18)2]])</f>
        <v>0</v>
      </c>
      <c r="T200" s="10"/>
      <c r="U200" s="10"/>
      <c r="V200" s="10"/>
      <c r="W200" s="10"/>
      <c r="X200" s="10"/>
      <c r="Z200" s="1"/>
      <c r="AB200" s="1"/>
      <c r="AF200" s="1"/>
      <c r="AJ200" s="1"/>
      <c r="AL200" s="1"/>
    </row>
    <row r="201" spans="1:38" ht="13.8" x14ac:dyDescent="0.25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1"/>
      <c r="M201" s="11"/>
      <c r="N201" s="12"/>
      <c r="O201" s="12"/>
      <c r="P201" s="10"/>
      <c r="Q201" s="10"/>
      <c r="R201" s="10"/>
      <c r="S201" s="13">
        <f>SUM(Table32[[#This Row],[Female ( age less than 17)]:[Male ( More than 18)2]])</f>
        <v>0</v>
      </c>
      <c r="T201" s="10"/>
      <c r="U201" s="10"/>
      <c r="V201" s="10"/>
      <c r="W201" s="10"/>
      <c r="X201" s="10"/>
      <c r="Z201" s="1"/>
      <c r="AB201" s="1"/>
      <c r="AF201" s="1"/>
      <c r="AJ201" s="1"/>
      <c r="AL201" s="1"/>
    </row>
    <row r="202" spans="1:38" ht="13.8" x14ac:dyDescent="0.25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1"/>
      <c r="M202" s="11"/>
      <c r="N202" s="12"/>
      <c r="O202" s="12"/>
      <c r="P202" s="10"/>
      <c r="Q202" s="10"/>
      <c r="R202" s="10"/>
      <c r="S202" s="13">
        <f>SUM(Table32[[#This Row],[Female ( age less than 17)]:[Male ( More than 18)2]])</f>
        <v>0</v>
      </c>
      <c r="T202" s="10"/>
      <c r="U202" s="10"/>
      <c r="V202" s="10"/>
      <c r="W202" s="10"/>
      <c r="X202" s="10"/>
      <c r="Z202" s="1"/>
      <c r="AB202" s="1"/>
      <c r="AF202" s="1"/>
      <c r="AJ202" s="1"/>
      <c r="AL202" s="1"/>
    </row>
    <row r="203" spans="1:38" ht="13.8" x14ac:dyDescent="0.25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1"/>
      <c r="M203" s="11"/>
      <c r="N203" s="12"/>
      <c r="O203" s="12"/>
      <c r="P203" s="10"/>
      <c r="Q203" s="10"/>
      <c r="R203" s="10"/>
      <c r="S203" s="13">
        <f>SUM(Table32[[#This Row],[Female ( age less than 17)]:[Male ( More than 18)2]])</f>
        <v>0</v>
      </c>
      <c r="T203" s="10"/>
      <c r="U203" s="10"/>
      <c r="V203" s="10"/>
      <c r="W203" s="10"/>
      <c r="X203" s="10"/>
      <c r="Z203" s="1"/>
      <c r="AB203" s="1"/>
      <c r="AF203" s="1"/>
      <c r="AJ203" s="1"/>
      <c r="AL203" s="1"/>
    </row>
    <row r="204" spans="1:38" ht="13.8" x14ac:dyDescent="0.25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1"/>
      <c r="M204" s="11"/>
      <c r="N204" s="12"/>
      <c r="O204" s="12"/>
      <c r="P204" s="10"/>
      <c r="Q204" s="10"/>
      <c r="R204" s="10"/>
      <c r="S204" s="13">
        <f>SUM(Table32[[#This Row],[Female ( age less than 17)]:[Male ( More than 18)2]])</f>
        <v>0</v>
      </c>
      <c r="T204" s="10"/>
      <c r="U204" s="10"/>
      <c r="V204" s="10"/>
      <c r="W204" s="10"/>
      <c r="X204" s="10"/>
      <c r="Z204" s="1"/>
      <c r="AB204" s="1"/>
      <c r="AF204" s="1"/>
      <c r="AJ204" s="1"/>
      <c r="AL204" s="1"/>
    </row>
    <row r="205" spans="1:38" ht="13.8" x14ac:dyDescent="0.25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1"/>
      <c r="M205" s="11"/>
      <c r="N205" s="12"/>
      <c r="O205" s="12"/>
      <c r="P205" s="10"/>
      <c r="Q205" s="10"/>
      <c r="R205" s="10"/>
      <c r="S205" s="13">
        <f>SUM(Table32[[#This Row],[Female ( age less than 17)]:[Male ( More than 18)2]])</f>
        <v>0</v>
      </c>
      <c r="T205" s="10"/>
      <c r="U205" s="10"/>
      <c r="V205" s="10"/>
      <c r="W205" s="10"/>
      <c r="X205" s="10"/>
      <c r="Z205" s="1"/>
      <c r="AB205" s="1"/>
      <c r="AF205" s="1"/>
      <c r="AJ205" s="1"/>
      <c r="AL205" s="1"/>
    </row>
    <row r="206" spans="1:38" ht="13.8" x14ac:dyDescent="0.25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1"/>
      <c r="M206" s="11"/>
      <c r="N206" s="12"/>
      <c r="O206" s="12"/>
      <c r="P206" s="10"/>
      <c r="Q206" s="10"/>
      <c r="R206" s="10"/>
      <c r="S206" s="13">
        <f>SUM(Table32[[#This Row],[Female ( age less than 17)]:[Male ( More than 18)2]])</f>
        <v>0</v>
      </c>
      <c r="T206" s="10"/>
      <c r="U206" s="10"/>
      <c r="V206" s="10"/>
      <c r="W206" s="10"/>
      <c r="X206" s="10"/>
      <c r="Z206" s="1"/>
      <c r="AB206" s="1"/>
      <c r="AF206" s="1"/>
      <c r="AJ206" s="1"/>
      <c r="AL206" s="1"/>
    </row>
    <row r="207" spans="1:38" ht="13.8" x14ac:dyDescent="0.25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1"/>
      <c r="M207" s="11"/>
      <c r="N207" s="12"/>
      <c r="O207" s="12"/>
      <c r="P207" s="10"/>
      <c r="Q207" s="10"/>
      <c r="R207" s="10"/>
      <c r="S207" s="13">
        <f>SUM(Table32[[#This Row],[Female ( age less than 17)]:[Male ( More than 18)2]])</f>
        <v>0</v>
      </c>
      <c r="T207" s="10"/>
      <c r="U207" s="10"/>
      <c r="V207" s="10"/>
      <c r="W207" s="10"/>
      <c r="X207" s="10"/>
      <c r="Z207" s="1"/>
      <c r="AB207" s="1"/>
      <c r="AF207" s="1"/>
      <c r="AJ207" s="1"/>
      <c r="AL207" s="1"/>
    </row>
    <row r="208" spans="1:38" ht="13.8" x14ac:dyDescent="0.25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1"/>
      <c r="M208" s="11"/>
      <c r="N208" s="12"/>
      <c r="O208" s="12"/>
      <c r="P208" s="10"/>
      <c r="Q208" s="10"/>
      <c r="R208" s="10"/>
      <c r="S208" s="13">
        <f>SUM(Table32[[#This Row],[Female ( age less than 17)]:[Male ( More than 18)2]])</f>
        <v>0</v>
      </c>
      <c r="T208" s="10"/>
      <c r="U208" s="10"/>
      <c r="V208" s="10"/>
      <c r="W208" s="10"/>
      <c r="X208" s="10"/>
      <c r="Z208" s="1"/>
      <c r="AB208" s="1"/>
      <c r="AF208" s="1"/>
      <c r="AJ208" s="1"/>
      <c r="AL208" s="1"/>
    </row>
    <row r="209" spans="1:38" ht="13.8" x14ac:dyDescent="0.25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1"/>
      <c r="M209" s="11"/>
      <c r="N209" s="12"/>
      <c r="O209" s="12"/>
      <c r="P209" s="10"/>
      <c r="Q209" s="10"/>
      <c r="R209" s="10"/>
      <c r="S209" s="13">
        <f>SUM(Table32[[#This Row],[Female ( age less than 17)]:[Male ( More than 18)2]])</f>
        <v>0</v>
      </c>
      <c r="T209" s="10"/>
      <c r="U209" s="10"/>
      <c r="V209" s="10"/>
      <c r="W209" s="10"/>
      <c r="X209" s="10"/>
      <c r="Z209" s="1"/>
      <c r="AB209" s="1"/>
      <c r="AF209" s="1"/>
      <c r="AJ209" s="1"/>
      <c r="AL209" s="1"/>
    </row>
    <row r="210" spans="1:38" ht="13.8" x14ac:dyDescent="0.25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1"/>
      <c r="M210" s="11"/>
      <c r="N210" s="12"/>
      <c r="O210" s="12"/>
      <c r="P210" s="10"/>
      <c r="Q210" s="10"/>
      <c r="R210" s="10"/>
      <c r="S210" s="13">
        <f>SUM(Table32[[#This Row],[Female ( age less than 17)]:[Male ( More than 18)2]])</f>
        <v>0</v>
      </c>
      <c r="T210" s="10"/>
      <c r="U210" s="10"/>
      <c r="V210" s="10"/>
      <c r="W210" s="10"/>
      <c r="X210" s="10"/>
      <c r="Z210" s="1"/>
      <c r="AB210" s="1"/>
      <c r="AF210" s="1"/>
      <c r="AJ210" s="1"/>
      <c r="AL210" s="1"/>
    </row>
    <row r="211" spans="1:38" ht="13.8" x14ac:dyDescent="0.25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1"/>
      <c r="M211" s="11"/>
      <c r="N211" s="12"/>
      <c r="O211" s="12"/>
      <c r="P211" s="10"/>
      <c r="Q211" s="10"/>
      <c r="R211" s="10"/>
      <c r="S211" s="13">
        <f>SUM(Table32[[#This Row],[Female ( age less than 17)]:[Male ( More than 18)2]])</f>
        <v>0</v>
      </c>
      <c r="T211" s="10"/>
      <c r="U211" s="10"/>
      <c r="V211" s="10"/>
      <c r="W211" s="10"/>
      <c r="X211" s="10"/>
      <c r="Z211" s="1"/>
      <c r="AB211" s="1"/>
      <c r="AF211" s="1"/>
      <c r="AJ211" s="1"/>
      <c r="AL211" s="1"/>
    </row>
    <row r="212" spans="1:38" ht="13.8" x14ac:dyDescent="0.25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1"/>
      <c r="M212" s="11"/>
      <c r="N212" s="12"/>
      <c r="O212" s="12"/>
      <c r="P212" s="10"/>
      <c r="Q212" s="10"/>
      <c r="R212" s="10"/>
      <c r="S212" s="13">
        <f>SUM(Table32[[#This Row],[Female ( age less than 17)]:[Male ( More than 18)2]])</f>
        <v>0</v>
      </c>
      <c r="T212" s="10"/>
      <c r="U212" s="10"/>
      <c r="V212" s="10"/>
      <c r="W212" s="10"/>
      <c r="X212" s="10"/>
      <c r="Z212" s="1"/>
      <c r="AB212" s="1"/>
      <c r="AF212" s="1"/>
      <c r="AJ212" s="1"/>
      <c r="AL212" s="1"/>
    </row>
    <row r="213" spans="1:38" ht="13.8" x14ac:dyDescent="0.25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1"/>
      <c r="M213" s="11"/>
      <c r="N213" s="12"/>
      <c r="O213" s="12"/>
      <c r="P213" s="10"/>
      <c r="Q213" s="10"/>
      <c r="R213" s="10"/>
      <c r="S213" s="13">
        <f>SUM(Table32[[#This Row],[Female ( age less than 17)]:[Male ( More than 18)2]])</f>
        <v>0</v>
      </c>
      <c r="T213" s="10"/>
      <c r="U213" s="10"/>
      <c r="V213" s="10"/>
      <c r="W213" s="10"/>
      <c r="X213" s="10"/>
      <c r="Z213" s="1"/>
      <c r="AB213" s="1"/>
      <c r="AF213" s="1"/>
      <c r="AJ213" s="1"/>
      <c r="AL213" s="1"/>
    </row>
    <row r="214" spans="1:38" ht="13.8" x14ac:dyDescent="0.25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1"/>
      <c r="M214" s="11"/>
      <c r="N214" s="12"/>
      <c r="O214" s="12"/>
      <c r="P214" s="10"/>
      <c r="Q214" s="10"/>
      <c r="R214" s="10"/>
      <c r="S214" s="13">
        <f>SUM(Table32[[#This Row],[Female ( age less than 17)]:[Male ( More than 18)2]])</f>
        <v>0</v>
      </c>
      <c r="T214" s="10"/>
      <c r="U214" s="10"/>
      <c r="V214" s="10"/>
      <c r="W214" s="10"/>
      <c r="X214" s="10"/>
      <c r="Z214" s="1"/>
      <c r="AB214" s="1"/>
      <c r="AF214" s="1"/>
      <c r="AJ214" s="1"/>
      <c r="AL214" s="1"/>
    </row>
    <row r="215" spans="1:38" ht="13.8" x14ac:dyDescent="0.25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1"/>
      <c r="M215" s="11"/>
      <c r="N215" s="12"/>
      <c r="O215" s="12"/>
      <c r="P215" s="10"/>
      <c r="Q215" s="10"/>
      <c r="R215" s="10"/>
      <c r="S215" s="13">
        <f>SUM(Table32[[#This Row],[Female ( age less than 17)]:[Male ( More than 18)2]])</f>
        <v>0</v>
      </c>
      <c r="T215" s="10"/>
      <c r="U215" s="10"/>
      <c r="V215" s="10"/>
      <c r="W215" s="10"/>
      <c r="X215" s="10"/>
      <c r="Z215" s="1"/>
      <c r="AB215" s="1"/>
      <c r="AF215" s="1"/>
      <c r="AJ215" s="1"/>
      <c r="AL215" s="1"/>
    </row>
    <row r="216" spans="1:38" ht="13.8" x14ac:dyDescent="0.25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1"/>
      <c r="M216" s="11"/>
      <c r="N216" s="12"/>
      <c r="O216" s="12"/>
      <c r="P216" s="10"/>
      <c r="Q216" s="10"/>
      <c r="R216" s="10"/>
      <c r="S216" s="13">
        <f>SUM(Table32[[#This Row],[Female ( age less than 17)]:[Male ( More than 18)2]])</f>
        <v>0</v>
      </c>
      <c r="T216" s="10"/>
      <c r="U216" s="10"/>
      <c r="V216" s="10"/>
      <c r="W216" s="10"/>
      <c r="X216" s="10"/>
      <c r="Z216" s="1"/>
      <c r="AB216" s="1"/>
      <c r="AF216" s="1"/>
      <c r="AJ216" s="1"/>
      <c r="AL216" s="1"/>
    </row>
    <row r="217" spans="1:38" ht="13.8" x14ac:dyDescent="0.25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1"/>
      <c r="M217" s="11"/>
      <c r="N217" s="12"/>
      <c r="O217" s="12"/>
      <c r="P217" s="10"/>
      <c r="Q217" s="10"/>
      <c r="R217" s="10"/>
      <c r="S217" s="13">
        <f>SUM(Table32[[#This Row],[Female ( age less than 17)]:[Male ( More than 18)2]])</f>
        <v>0</v>
      </c>
      <c r="T217" s="10"/>
      <c r="U217" s="10"/>
      <c r="V217" s="10"/>
      <c r="W217" s="10"/>
      <c r="X217" s="10"/>
      <c r="Z217" s="1"/>
      <c r="AB217" s="1"/>
      <c r="AF217" s="1"/>
      <c r="AJ217" s="1"/>
      <c r="AL217" s="1"/>
    </row>
    <row r="218" spans="1:38" ht="13.8" x14ac:dyDescent="0.25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1"/>
      <c r="M218" s="11"/>
      <c r="N218" s="12"/>
      <c r="O218" s="12"/>
      <c r="P218" s="10"/>
      <c r="Q218" s="10"/>
      <c r="R218" s="10"/>
      <c r="S218" s="13">
        <f>SUM(Table32[[#This Row],[Female ( age less than 17)]:[Male ( More than 18)2]])</f>
        <v>0</v>
      </c>
      <c r="T218" s="10"/>
      <c r="U218" s="10"/>
      <c r="V218" s="10"/>
      <c r="W218" s="10"/>
      <c r="X218" s="10"/>
      <c r="Z218" s="1"/>
      <c r="AB218" s="1"/>
      <c r="AF218" s="1"/>
      <c r="AJ218" s="1"/>
      <c r="AL218" s="1"/>
    </row>
    <row r="219" spans="1:38" ht="13.8" x14ac:dyDescent="0.25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1"/>
      <c r="M219" s="11"/>
      <c r="N219" s="12"/>
      <c r="O219" s="12"/>
      <c r="P219" s="10"/>
      <c r="Q219" s="10"/>
      <c r="R219" s="10"/>
      <c r="S219" s="13">
        <f>SUM(Table32[[#This Row],[Female ( age less than 17)]:[Male ( More than 18)2]])</f>
        <v>0</v>
      </c>
      <c r="T219" s="10"/>
      <c r="U219" s="10"/>
      <c r="V219" s="10"/>
      <c r="W219" s="10"/>
      <c r="X219" s="10"/>
      <c r="Z219" s="1"/>
      <c r="AB219" s="1"/>
      <c r="AF219" s="1"/>
      <c r="AJ219" s="1"/>
      <c r="AL219" s="1"/>
    </row>
    <row r="220" spans="1:38" ht="13.8" x14ac:dyDescent="0.25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1"/>
      <c r="M220" s="11"/>
      <c r="N220" s="12"/>
      <c r="O220" s="12"/>
      <c r="P220" s="10"/>
      <c r="Q220" s="10"/>
      <c r="R220" s="10"/>
      <c r="S220" s="13">
        <f>SUM(Table32[[#This Row],[Female ( age less than 17)]:[Male ( More than 18)2]])</f>
        <v>0</v>
      </c>
      <c r="T220" s="10"/>
      <c r="U220" s="10"/>
      <c r="V220" s="10"/>
      <c r="W220" s="10"/>
      <c r="X220" s="10"/>
      <c r="Z220" s="1"/>
      <c r="AB220" s="1"/>
      <c r="AF220" s="1"/>
      <c r="AJ220" s="1"/>
      <c r="AL220" s="1"/>
    </row>
    <row r="221" spans="1:38" ht="13.8" x14ac:dyDescent="0.25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1"/>
      <c r="M221" s="11"/>
      <c r="N221" s="12"/>
      <c r="O221" s="12"/>
      <c r="P221" s="10"/>
      <c r="Q221" s="10"/>
      <c r="R221" s="10"/>
      <c r="S221" s="13">
        <f>SUM(Table32[[#This Row],[Female ( age less than 17)]:[Male ( More than 18)2]])</f>
        <v>0</v>
      </c>
      <c r="T221" s="10"/>
      <c r="U221" s="10"/>
      <c r="V221" s="10"/>
      <c r="W221" s="10"/>
      <c r="X221" s="10"/>
      <c r="Z221" s="1"/>
      <c r="AB221" s="1"/>
      <c r="AF221" s="1"/>
      <c r="AJ221" s="1"/>
      <c r="AL221" s="1"/>
    </row>
    <row r="222" spans="1:38" ht="13.8" x14ac:dyDescent="0.25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1"/>
      <c r="M222" s="11"/>
      <c r="N222" s="12"/>
      <c r="O222" s="12"/>
      <c r="P222" s="10"/>
      <c r="Q222" s="10"/>
      <c r="R222" s="10"/>
      <c r="S222" s="13">
        <f>SUM(Table32[[#This Row],[Female ( age less than 17)]:[Male ( More than 18)2]])</f>
        <v>0</v>
      </c>
      <c r="T222" s="10"/>
      <c r="U222" s="10"/>
      <c r="V222" s="10"/>
      <c r="W222" s="10"/>
      <c r="X222" s="10"/>
      <c r="Z222" s="1"/>
      <c r="AB222" s="1"/>
      <c r="AF222" s="1"/>
      <c r="AJ222" s="1"/>
      <c r="AL222" s="1"/>
    </row>
    <row r="223" spans="1:38" ht="13.8" x14ac:dyDescent="0.25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1"/>
      <c r="M223" s="11"/>
      <c r="N223" s="12"/>
      <c r="O223" s="12"/>
      <c r="P223" s="10"/>
      <c r="Q223" s="10"/>
      <c r="R223" s="10"/>
      <c r="S223" s="13">
        <f>SUM(Table32[[#This Row],[Female ( age less than 17)]:[Male ( More than 18)2]])</f>
        <v>0</v>
      </c>
      <c r="T223" s="10"/>
      <c r="U223" s="10"/>
      <c r="V223" s="10"/>
      <c r="W223" s="10"/>
      <c r="X223" s="10"/>
      <c r="Z223" s="1"/>
      <c r="AB223" s="1"/>
      <c r="AF223" s="1"/>
      <c r="AJ223" s="1"/>
      <c r="AL223" s="1"/>
    </row>
    <row r="224" spans="1:38" ht="13.8" x14ac:dyDescent="0.25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1"/>
      <c r="M224" s="11"/>
      <c r="N224" s="12"/>
      <c r="O224" s="12"/>
      <c r="P224" s="10"/>
      <c r="Q224" s="10"/>
      <c r="R224" s="10"/>
      <c r="S224" s="13">
        <f>SUM(Table32[[#This Row],[Female ( age less than 17)]:[Male ( More than 18)2]])</f>
        <v>0</v>
      </c>
      <c r="T224" s="10"/>
      <c r="U224" s="10"/>
      <c r="V224" s="10"/>
      <c r="W224" s="10"/>
      <c r="X224" s="10"/>
      <c r="Z224" s="1"/>
      <c r="AB224" s="1"/>
      <c r="AF224" s="1"/>
      <c r="AJ224" s="1"/>
      <c r="AL224" s="1"/>
    </row>
    <row r="225" spans="1:38" ht="13.8" x14ac:dyDescent="0.25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1"/>
      <c r="M225" s="11"/>
      <c r="N225" s="12"/>
      <c r="O225" s="12"/>
      <c r="P225" s="10"/>
      <c r="Q225" s="10"/>
      <c r="R225" s="10"/>
      <c r="S225" s="13">
        <f>SUM(Table32[[#This Row],[Female ( age less than 17)]:[Male ( More than 18)2]])</f>
        <v>0</v>
      </c>
      <c r="T225" s="10"/>
      <c r="U225" s="10"/>
      <c r="V225" s="10"/>
      <c r="W225" s="10"/>
      <c r="X225" s="10"/>
      <c r="Z225" s="1"/>
      <c r="AB225" s="1"/>
      <c r="AF225" s="1"/>
      <c r="AJ225" s="1"/>
      <c r="AL225" s="1"/>
    </row>
    <row r="226" spans="1:38" ht="13.8" x14ac:dyDescent="0.25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1"/>
      <c r="M226" s="11"/>
      <c r="N226" s="12"/>
      <c r="O226" s="12"/>
      <c r="P226" s="10"/>
      <c r="Q226" s="10"/>
      <c r="R226" s="10"/>
      <c r="S226" s="13">
        <f>SUM(Table32[[#This Row],[Female ( age less than 17)]:[Male ( More than 18)2]])</f>
        <v>0</v>
      </c>
      <c r="T226" s="10"/>
      <c r="U226" s="10"/>
      <c r="V226" s="10"/>
      <c r="W226" s="10"/>
      <c r="X226" s="10"/>
      <c r="Z226" s="1"/>
      <c r="AB226" s="1"/>
      <c r="AF226" s="1"/>
      <c r="AJ226" s="1"/>
      <c r="AL226" s="1"/>
    </row>
    <row r="227" spans="1:38" ht="13.8" x14ac:dyDescent="0.25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1"/>
      <c r="M227" s="11"/>
      <c r="N227" s="12"/>
      <c r="O227" s="12"/>
      <c r="P227" s="10"/>
      <c r="Q227" s="10"/>
      <c r="R227" s="10"/>
      <c r="S227" s="13">
        <f>SUM(Table32[[#This Row],[Female ( age less than 17)]:[Male ( More than 18)2]])</f>
        <v>0</v>
      </c>
      <c r="T227" s="10"/>
      <c r="U227" s="10"/>
      <c r="V227" s="10"/>
      <c r="W227" s="10"/>
      <c r="X227" s="10"/>
      <c r="Z227" s="1"/>
      <c r="AB227" s="1"/>
      <c r="AF227" s="1"/>
      <c r="AJ227" s="1"/>
      <c r="AL227" s="1"/>
    </row>
    <row r="228" spans="1:38" ht="13.8" x14ac:dyDescent="0.25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1"/>
      <c r="M228" s="11"/>
      <c r="N228" s="12"/>
      <c r="O228" s="12"/>
      <c r="P228" s="10"/>
      <c r="Q228" s="10"/>
      <c r="R228" s="10"/>
      <c r="S228" s="13">
        <f>SUM(Table32[[#This Row],[Female ( age less than 17)]:[Male ( More than 18)2]])</f>
        <v>0</v>
      </c>
      <c r="T228" s="10"/>
      <c r="U228" s="10"/>
      <c r="V228" s="10"/>
      <c r="W228" s="10"/>
      <c r="X228" s="10"/>
      <c r="Z228" s="1"/>
      <c r="AB228" s="1"/>
      <c r="AF228" s="1"/>
      <c r="AJ228" s="1"/>
      <c r="AL228" s="1"/>
    </row>
    <row r="229" spans="1:38" ht="13.8" x14ac:dyDescent="0.25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1"/>
      <c r="M229" s="11"/>
      <c r="N229" s="12"/>
      <c r="O229" s="12"/>
      <c r="P229" s="10"/>
      <c r="Q229" s="10"/>
      <c r="R229" s="10"/>
      <c r="S229" s="13">
        <f>SUM(Table32[[#This Row],[Female ( age less than 17)]:[Male ( More than 18)2]])</f>
        <v>0</v>
      </c>
      <c r="T229" s="10"/>
      <c r="U229" s="10"/>
      <c r="V229" s="10"/>
      <c r="W229" s="10"/>
      <c r="X229" s="10"/>
      <c r="Z229" s="1"/>
      <c r="AB229" s="1"/>
      <c r="AF229" s="1"/>
      <c r="AJ229" s="1"/>
      <c r="AL229" s="1"/>
    </row>
    <row r="230" spans="1:38" ht="13.8" x14ac:dyDescent="0.25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1"/>
      <c r="M230" s="11"/>
      <c r="N230" s="12"/>
      <c r="O230" s="12"/>
      <c r="P230" s="10"/>
      <c r="Q230" s="10"/>
      <c r="R230" s="10"/>
      <c r="S230" s="13">
        <f>SUM(Table32[[#This Row],[Female ( age less than 17)]:[Male ( More than 18)2]])</f>
        <v>0</v>
      </c>
      <c r="T230" s="10"/>
      <c r="U230" s="10"/>
      <c r="V230" s="10"/>
      <c r="W230" s="10"/>
      <c r="X230" s="10"/>
      <c r="Z230" s="1"/>
      <c r="AB230" s="1"/>
      <c r="AF230" s="1"/>
      <c r="AJ230" s="1"/>
      <c r="AL230" s="1"/>
    </row>
    <row r="231" spans="1:38" ht="13.8" x14ac:dyDescent="0.25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1"/>
      <c r="M231" s="11"/>
      <c r="N231" s="12"/>
      <c r="O231" s="12"/>
      <c r="P231" s="10"/>
      <c r="Q231" s="10"/>
      <c r="R231" s="10"/>
      <c r="S231" s="13">
        <f>SUM(Table32[[#This Row],[Female ( age less than 17)]:[Male ( More than 18)2]])</f>
        <v>0</v>
      </c>
      <c r="T231" s="10"/>
      <c r="U231" s="10"/>
      <c r="V231" s="10"/>
      <c r="W231" s="10"/>
      <c r="X231" s="10"/>
      <c r="Z231" s="1"/>
      <c r="AB231" s="1"/>
      <c r="AF231" s="1"/>
      <c r="AJ231" s="1"/>
      <c r="AL231" s="1"/>
    </row>
    <row r="232" spans="1:38" ht="13.8" x14ac:dyDescent="0.25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1"/>
      <c r="M232" s="11"/>
      <c r="N232" s="12"/>
      <c r="O232" s="12"/>
      <c r="P232" s="10"/>
      <c r="Q232" s="10"/>
      <c r="R232" s="10"/>
      <c r="S232" s="13">
        <f>SUM(Table32[[#This Row],[Female ( age less than 17)]:[Male ( More than 18)2]])</f>
        <v>0</v>
      </c>
      <c r="T232" s="10"/>
      <c r="U232" s="10"/>
      <c r="V232" s="10"/>
      <c r="W232" s="10"/>
      <c r="X232" s="10"/>
      <c r="Z232" s="1"/>
      <c r="AB232" s="1"/>
      <c r="AF232" s="1"/>
      <c r="AJ232" s="1"/>
      <c r="AL232" s="1"/>
    </row>
    <row r="233" spans="1:38" ht="13.8" x14ac:dyDescent="0.25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1"/>
      <c r="M233" s="11"/>
      <c r="N233" s="12"/>
      <c r="O233" s="12"/>
      <c r="P233" s="10"/>
      <c r="Q233" s="10"/>
      <c r="R233" s="10"/>
      <c r="S233" s="13">
        <f>SUM(Table32[[#This Row],[Female ( age less than 17)]:[Male ( More than 18)2]])</f>
        <v>0</v>
      </c>
      <c r="T233" s="10"/>
      <c r="U233" s="10"/>
      <c r="V233" s="10"/>
      <c r="W233" s="10"/>
      <c r="X233" s="10"/>
      <c r="Z233" s="1"/>
      <c r="AB233" s="1"/>
      <c r="AF233" s="1"/>
      <c r="AJ233" s="1"/>
      <c r="AL233" s="1"/>
    </row>
    <row r="234" spans="1:38" ht="13.8" x14ac:dyDescent="0.25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1"/>
      <c r="M234" s="11"/>
      <c r="N234" s="12"/>
      <c r="O234" s="12"/>
      <c r="P234" s="10"/>
      <c r="Q234" s="10"/>
      <c r="R234" s="10"/>
      <c r="S234" s="13">
        <f>SUM(Table32[[#This Row],[Female ( age less than 17)]:[Male ( More than 18)2]])</f>
        <v>0</v>
      </c>
      <c r="T234" s="10"/>
      <c r="U234" s="10"/>
      <c r="V234" s="10"/>
      <c r="W234" s="10"/>
      <c r="X234" s="10"/>
      <c r="Z234" s="1"/>
      <c r="AB234" s="1"/>
      <c r="AF234" s="1"/>
      <c r="AJ234" s="1"/>
      <c r="AL234" s="1"/>
    </row>
    <row r="235" spans="1:38" ht="13.8" x14ac:dyDescent="0.25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1"/>
      <c r="M235" s="11"/>
      <c r="N235" s="12"/>
      <c r="O235" s="12"/>
      <c r="P235" s="10"/>
      <c r="Q235" s="10"/>
      <c r="R235" s="10"/>
      <c r="S235" s="13">
        <f>SUM(Table32[[#This Row],[Female ( age less than 17)]:[Male ( More than 18)2]])</f>
        <v>0</v>
      </c>
      <c r="T235" s="10"/>
      <c r="U235" s="10"/>
      <c r="V235" s="10"/>
      <c r="W235" s="10"/>
      <c r="X235" s="10"/>
      <c r="Z235" s="1"/>
      <c r="AB235" s="1"/>
      <c r="AF235" s="1"/>
      <c r="AJ235" s="1"/>
      <c r="AL235" s="1"/>
    </row>
    <row r="236" spans="1:38" ht="13.8" x14ac:dyDescent="0.25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1"/>
      <c r="M236" s="11"/>
      <c r="N236" s="12"/>
      <c r="O236" s="12"/>
      <c r="P236" s="10"/>
      <c r="Q236" s="10"/>
      <c r="R236" s="10"/>
      <c r="S236" s="13">
        <f>SUM(Table32[[#This Row],[Female ( age less than 17)]:[Male ( More than 18)2]])</f>
        <v>0</v>
      </c>
      <c r="T236" s="10"/>
      <c r="U236" s="10"/>
      <c r="V236" s="10"/>
      <c r="W236" s="10"/>
      <c r="X236" s="10"/>
      <c r="Z236" s="1"/>
      <c r="AB236" s="1"/>
      <c r="AF236" s="1"/>
      <c r="AJ236" s="1"/>
      <c r="AL236" s="1"/>
    </row>
    <row r="237" spans="1:38" ht="13.8" x14ac:dyDescent="0.25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1"/>
      <c r="M237" s="11"/>
      <c r="N237" s="12"/>
      <c r="O237" s="12"/>
      <c r="P237" s="10"/>
      <c r="Q237" s="10"/>
      <c r="R237" s="10"/>
      <c r="S237" s="13">
        <f>SUM(Table32[[#This Row],[Female ( age less than 17)]:[Male ( More than 18)2]])</f>
        <v>0</v>
      </c>
      <c r="T237" s="10"/>
      <c r="U237" s="10"/>
      <c r="V237" s="10"/>
      <c r="W237" s="10"/>
      <c r="X237" s="10"/>
      <c r="Z237" s="1"/>
      <c r="AB237" s="1"/>
      <c r="AF237" s="1"/>
      <c r="AJ237" s="1"/>
      <c r="AL237" s="1"/>
    </row>
    <row r="238" spans="1:38" ht="13.8" x14ac:dyDescent="0.25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1"/>
      <c r="M238" s="11"/>
      <c r="N238" s="12"/>
      <c r="O238" s="12"/>
      <c r="P238" s="10"/>
      <c r="Q238" s="10"/>
      <c r="R238" s="10"/>
      <c r="S238" s="13">
        <f>SUM(Table32[[#This Row],[Female ( age less than 17)]:[Male ( More than 18)2]])</f>
        <v>0</v>
      </c>
      <c r="T238" s="10"/>
      <c r="U238" s="10"/>
      <c r="V238" s="10"/>
      <c r="W238" s="10"/>
      <c r="X238" s="10"/>
      <c r="Z238" s="1"/>
      <c r="AB238" s="1"/>
      <c r="AF238" s="1"/>
      <c r="AJ238" s="1"/>
      <c r="AL238" s="1"/>
    </row>
    <row r="239" spans="1:38" ht="13.8" x14ac:dyDescent="0.25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1"/>
      <c r="M239" s="11"/>
      <c r="N239" s="12"/>
      <c r="O239" s="12"/>
      <c r="P239" s="10"/>
      <c r="Q239" s="10"/>
      <c r="R239" s="10"/>
      <c r="S239" s="13">
        <f>SUM(Table32[[#This Row],[Female ( age less than 17)]:[Male ( More than 18)2]])</f>
        <v>0</v>
      </c>
      <c r="T239" s="10"/>
      <c r="U239" s="10"/>
      <c r="V239" s="10"/>
      <c r="W239" s="10"/>
      <c r="X239" s="10"/>
      <c r="Z239" s="1"/>
      <c r="AB239" s="1"/>
      <c r="AF239" s="1"/>
      <c r="AJ239" s="1"/>
      <c r="AL239" s="1"/>
    </row>
    <row r="240" spans="1:38" ht="13.8" x14ac:dyDescent="0.25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1"/>
      <c r="M240" s="11"/>
      <c r="N240" s="12"/>
      <c r="O240" s="12"/>
      <c r="P240" s="10"/>
      <c r="Q240" s="10"/>
      <c r="R240" s="10"/>
      <c r="S240" s="13">
        <f>SUM(Table32[[#This Row],[Female ( age less than 17)]:[Male ( More than 18)2]])</f>
        <v>0</v>
      </c>
      <c r="T240" s="10"/>
      <c r="U240" s="10"/>
      <c r="V240" s="10"/>
      <c r="W240" s="10"/>
      <c r="X240" s="10"/>
      <c r="Z240" s="1"/>
      <c r="AB240" s="1"/>
      <c r="AF240" s="1"/>
      <c r="AJ240" s="1"/>
      <c r="AL240" s="1"/>
    </row>
    <row r="241" spans="1:38" ht="13.8" x14ac:dyDescent="0.25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1"/>
      <c r="M241" s="11"/>
      <c r="N241" s="12"/>
      <c r="O241" s="12"/>
      <c r="P241" s="10"/>
      <c r="Q241" s="10"/>
      <c r="R241" s="10"/>
      <c r="S241" s="13">
        <f>SUM(Table32[[#This Row],[Female ( age less than 17)]:[Male ( More than 18)2]])</f>
        <v>0</v>
      </c>
      <c r="T241" s="10"/>
      <c r="U241" s="10"/>
      <c r="V241" s="10"/>
      <c r="W241" s="10"/>
      <c r="X241" s="10"/>
      <c r="Z241" s="1"/>
      <c r="AB241" s="1"/>
      <c r="AF241" s="1"/>
      <c r="AJ241" s="1"/>
      <c r="AL241" s="1"/>
    </row>
    <row r="242" spans="1:38" ht="13.8" x14ac:dyDescent="0.25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1"/>
      <c r="M242" s="11"/>
      <c r="N242" s="12"/>
      <c r="O242" s="12"/>
      <c r="P242" s="10"/>
      <c r="Q242" s="10"/>
      <c r="R242" s="10"/>
      <c r="S242" s="13">
        <f>SUM(Table32[[#This Row],[Female ( age less than 17)]:[Male ( More than 18)2]])</f>
        <v>0</v>
      </c>
      <c r="T242" s="10"/>
      <c r="U242" s="10"/>
      <c r="V242" s="10"/>
      <c r="W242" s="10"/>
      <c r="X242" s="10"/>
      <c r="Z242" s="1"/>
      <c r="AB242" s="1"/>
      <c r="AF242" s="1"/>
      <c r="AJ242" s="1"/>
      <c r="AL242" s="1"/>
    </row>
    <row r="243" spans="1:38" ht="13.8" x14ac:dyDescent="0.25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1"/>
      <c r="M243" s="11"/>
      <c r="N243" s="12"/>
      <c r="O243" s="12"/>
      <c r="P243" s="10"/>
      <c r="Q243" s="10"/>
      <c r="R243" s="10"/>
      <c r="S243" s="13">
        <f>SUM(Table32[[#This Row],[Female ( age less than 17)]:[Male ( More than 18)2]])</f>
        <v>0</v>
      </c>
      <c r="T243" s="10"/>
      <c r="U243" s="10"/>
      <c r="V243" s="10"/>
      <c r="W243" s="10"/>
      <c r="X243" s="10"/>
      <c r="Z243" s="1"/>
      <c r="AB243" s="1"/>
      <c r="AF243" s="1"/>
      <c r="AJ243" s="1"/>
      <c r="AL243" s="1"/>
    </row>
    <row r="244" spans="1:38" ht="13.8" x14ac:dyDescent="0.25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1"/>
      <c r="M244" s="11"/>
      <c r="N244" s="12"/>
      <c r="O244" s="12"/>
      <c r="P244" s="10"/>
      <c r="Q244" s="10"/>
      <c r="R244" s="10"/>
      <c r="S244" s="13">
        <f>SUM(Table32[[#This Row],[Female ( age less than 17)]:[Male ( More than 18)2]])</f>
        <v>0</v>
      </c>
      <c r="T244" s="10"/>
      <c r="U244" s="10"/>
      <c r="V244" s="10"/>
      <c r="W244" s="10"/>
      <c r="X244" s="10"/>
      <c r="Z244" s="1"/>
      <c r="AB244" s="1"/>
      <c r="AF244" s="1"/>
      <c r="AJ244" s="1"/>
      <c r="AL244" s="1"/>
    </row>
    <row r="245" spans="1:38" ht="13.8" x14ac:dyDescent="0.25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1"/>
      <c r="M245" s="11"/>
      <c r="N245" s="12"/>
      <c r="O245" s="12"/>
      <c r="P245" s="10"/>
      <c r="Q245" s="10"/>
      <c r="R245" s="10"/>
      <c r="S245" s="13">
        <f>SUM(Table32[[#This Row],[Female ( age less than 17)]:[Male ( More than 18)2]])</f>
        <v>0</v>
      </c>
      <c r="T245" s="10"/>
      <c r="U245" s="10"/>
      <c r="V245" s="10"/>
      <c r="W245" s="10"/>
      <c r="X245" s="10"/>
      <c r="Z245" s="1"/>
      <c r="AB245" s="1"/>
      <c r="AF245" s="1"/>
      <c r="AJ245" s="1"/>
      <c r="AL245" s="1"/>
    </row>
    <row r="246" spans="1:38" ht="13.8" x14ac:dyDescent="0.25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1"/>
      <c r="M246" s="11"/>
      <c r="N246" s="12"/>
      <c r="O246" s="12"/>
      <c r="P246" s="10"/>
      <c r="Q246" s="10"/>
      <c r="R246" s="10"/>
      <c r="S246" s="13">
        <f>SUM(Table32[[#This Row],[Female ( age less than 17)]:[Male ( More than 18)2]])</f>
        <v>0</v>
      </c>
      <c r="T246" s="10"/>
      <c r="U246" s="10"/>
      <c r="V246" s="10"/>
      <c r="W246" s="10"/>
      <c r="X246" s="10"/>
      <c r="Z246" s="1"/>
      <c r="AB246" s="1"/>
      <c r="AF246" s="1"/>
      <c r="AJ246" s="1"/>
      <c r="AL246" s="1"/>
    </row>
    <row r="247" spans="1:38" ht="13.8" x14ac:dyDescent="0.25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1"/>
      <c r="M247" s="11"/>
      <c r="N247" s="12"/>
      <c r="O247" s="12"/>
      <c r="P247" s="10"/>
      <c r="Q247" s="10"/>
      <c r="R247" s="10"/>
      <c r="S247" s="13">
        <f>SUM(Table32[[#This Row],[Female ( age less than 17)]:[Male ( More than 18)2]])</f>
        <v>0</v>
      </c>
      <c r="T247" s="10"/>
      <c r="U247" s="10"/>
      <c r="V247" s="10"/>
      <c r="W247" s="10"/>
      <c r="X247" s="10"/>
      <c r="Z247" s="1"/>
      <c r="AB247" s="1"/>
      <c r="AF247" s="1"/>
      <c r="AJ247" s="1"/>
      <c r="AL247" s="1"/>
    </row>
    <row r="248" spans="1:38" ht="13.8" x14ac:dyDescent="0.25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1"/>
      <c r="M248" s="11"/>
      <c r="N248" s="12"/>
      <c r="O248" s="12"/>
      <c r="P248" s="10"/>
      <c r="Q248" s="10"/>
      <c r="R248" s="10"/>
      <c r="S248" s="13">
        <f>SUM(Table32[[#This Row],[Female ( age less than 17)]:[Male ( More than 18)2]])</f>
        <v>0</v>
      </c>
      <c r="T248" s="10"/>
      <c r="U248" s="10"/>
      <c r="V248" s="10"/>
      <c r="W248" s="10"/>
      <c r="X248" s="10"/>
      <c r="Z248" s="1"/>
      <c r="AB248" s="1"/>
      <c r="AF248" s="1"/>
      <c r="AJ248" s="1"/>
      <c r="AL248" s="1"/>
    </row>
    <row r="249" spans="1:38" ht="13.8" x14ac:dyDescent="0.25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1"/>
      <c r="M249" s="11"/>
      <c r="N249" s="12"/>
      <c r="O249" s="12"/>
      <c r="P249" s="10"/>
      <c r="Q249" s="10"/>
      <c r="R249" s="10"/>
      <c r="S249" s="13">
        <f>SUM(Table32[[#This Row],[Female ( age less than 17)]:[Male ( More than 18)2]])</f>
        <v>0</v>
      </c>
      <c r="T249" s="10"/>
      <c r="U249" s="10"/>
      <c r="V249" s="10"/>
      <c r="W249" s="10"/>
      <c r="X249" s="10"/>
      <c r="Z249" s="1"/>
      <c r="AB249" s="1"/>
      <c r="AF249" s="1"/>
      <c r="AJ249" s="1"/>
      <c r="AL249" s="1"/>
    </row>
    <row r="250" spans="1:38" ht="13.8" x14ac:dyDescent="0.25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1"/>
      <c r="M250" s="11"/>
      <c r="N250" s="12"/>
      <c r="O250" s="12"/>
      <c r="P250" s="10"/>
      <c r="Q250" s="10"/>
      <c r="R250" s="10"/>
      <c r="S250" s="13">
        <f>SUM(Table32[[#This Row],[Female ( age less than 17)]:[Male ( More than 18)2]])</f>
        <v>0</v>
      </c>
      <c r="T250" s="10"/>
      <c r="U250" s="10"/>
      <c r="V250" s="10"/>
      <c r="W250" s="10"/>
      <c r="X250" s="10"/>
      <c r="Z250" s="1"/>
      <c r="AB250" s="1"/>
      <c r="AF250" s="1"/>
      <c r="AJ250" s="1"/>
      <c r="AL250" s="1"/>
    </row>
    <row r="251" spans="1:38" ht="13.8" x14ac:dyDescent="0.25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1"/>
      <c r="M251" s="11"/>
      <c r="N251" s="12"/>
      <c r="O251" s="12"/>
      <c r="P251" s="10"/>
      <c r="Q251" s="10"/>
      <c r="R251" s="10"/>
      <c r="S251" s="13">
        <f>SUM(Table32[[#This Row],[Female ( age less than 17)]:[Male ( More than 18)2]])</f>
        <v>0</v>
      </c>
      <c r="T251" s="10"/>
      <c r="U251" s="10"/>
      <c r="V251" s="10"/>
      <c r="W251" s="10"/>
      <c r="X251" s="10"/>
      <c r="Z251" s="1"/>
      <c r="AB251" s="1"/>
      <c r="AF251" s="1"/>
      <c r="AJ251" s="1"/>
      <c r="AL251" s="1"/>
    </row>
    <row r="252" spans="1:38" ht="13.8" x14ac:dyDescent="0.25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1"/>
      <c r="M252" s="11"/>
      <c r="N252" s="12"/>
      <c r="O252" s="12"/>
      <c r="P252" s="10"/>
      <c r="Q252" s="10"/>
      <c r="R252" s="10"/>
      <c r="S252" s="13">
        <f>SUM(Table32[[#This Row],[Female ( age less than 17)]:[Male ( More than 18)2]])</f>
        <v>0</v>
      </c>
      <c r="T252" s="10"/>
      <c r="U252" s="10"/>
      <c r="V252" s="10"/>
      <c r="W252" s="10"/>
      <c r="X252" s="10"/>
      <c r="Z252" s="1"/>
      <c r="AB252" s="1"/>
      <c r="AF252" s="1"/>
      <c r="AJ252" s="1"/>
      <c r="AL252" s="1"/>
    </row>
    <row r="253" spans="1:38" ht="13.8" x14ac:dyDescent="0.25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1"/>
      <c r="M253" s="11"/>
      <c r="N253" s="12"/>
      <c r="O253" s="12"/>
      <c r="P253" s="10"/>
      <c r="Q253" s="10"/>
      <c r="R253" s="10"/>
      <c r="S253" s="13">
        <f>SUM(Table32[[#This Row],[Female ( age less than 17)]:[Male ( More than 18)2]])</f>
        <v>0</v>
      </c>
      <c r="T253" s="10"/>
      <c r="U253" s="10"/>
      <c r="V253" s="10"/>
      <c r="W253" s="10"/>
      <c r="X253" s="10"/>
      <c r="Z253" s="1"/>
      <c r="AB253" s="1"/>
      <c r="AF253" s="1"/>
      <c r="AJ253" s="1"/>
      <c r="AL253" s="1"/>
    </row>
    <row r="254" spans="1:38" ht="13.8" x14ac:dyDescent="0.25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1"/>
      <c r="M254" s="11"/>
      <c r="N254" s="12"/>
      <c r="O254" s="12"/>
      <c r="P254" s="10"/>
      <c r="Q254" s="10"/>
      <c r="R254" s="10"/>
      <c r="S254" s="13">
        <f>SUM(Table32[[#This Row],[Female ( age less than 17)]:[Male ( More than 18)2]])</f>
        <v>0</v>
      </c>
      <c r="T254" s="10"/>
      <c r="U254" s="10"/>
      <c r="V254" s="10"/>
      <c r="W254" s="10"/>
      <c r="X254" s="10"/>
      <c r="Z254" s="1"/>
      <c r="AB254" s="1"/>
      <c r="AF254" s="1"/>
      <c r="AJ254" s="1"/>
      <c r="AL254" s="1"/>
    </row>
    <row r="255" spans="1:38" ht="13.8" x14ac:dyDescent="0.25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1"/>
      <c r="M255" s="11"/>
      <c r="N255" s="12"/>
      <c r="O255" s="12"/>
      <c r="P255" s="10"/>
      <c r="Q255" s="10"/>
      <c r="R255" s="10"/>
      <c r="S255" s="13">
        <f>SUM(Table32[[#This Row],[Female ( age less than 17)]:[Male ( More than 18)2]])</f>
        <v>0</v>
      </c>
      <c r="T255" s="10"/>
      <c r="U255" s="10"/>
      <c r="V255" s="10"/>
      <c r="W255" s="10"/>
      <c r="X255" s="10"/>
      <c r="Z255" s="1"/>
      <c r="AB255" s="1"/>
      <c r="AF255" s="1"/>
      <c r="AJ255" s="1"/>
      <c r="AL255" s="1"/>
    </row>
    <row r="256" spans="1:38" ht="13.8" x14ac:dyDescent="0.25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1"/>
      <c r="M256" s="11"/>
      <c r="N256" s="12"/>
      <c r="O256" s="12"/>
      <c r="P256" s="10"/>
      <c r="Q256" s="10"/>
      <c r="R256" s="10"/>
      <c r="S256" s="13">
        <f>SUM(Table32[[#This Row],[Female ( age less than 17)]:[Male ( More than 18)2]])</f>
        <v>0</v>
      </c>
      <c r="T256" s="10"/>
      <c r="U256" s="10"/>
      <c r="V256" s="10"/>
      <c r="W256" s="10"/>
      <c r="X256" s="10"/>
      <c r="Z256" s="1"/>
      <c r="AB256" s="1"/>
      <c r="AF256" s="1"/>
      <c r="AJ256" s="1"/>
      <c r="AL256" s="1"/>
    </row>
    <row r="257" spans="1:38" ht="13.8" x14ac:dyDescent="0.25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1"/>
      <c r="M257" s="11"/>
      <c r="N257" s="12"/>
      <c r="O257" s="12"/>
      <c r="P257" s="10"/>
      <c r="Q257" s="10"/>
      <c r="R257" s="10"/>
      <c r="S257" s="13">
        <f>SUM(Table32[[#This Row],[Female ( age less than 17)]:[Male ( More than 18)2]])</f>
        <v>0</v>
      </c>
      <c r="T257" s="10"/>
      <c r="U257" s="10"/>
      <c r="V257" s="10"/>
      <c r="W257" s="10"/>
      <c r="X257" s="10"/>
      <c r="Z257" s="1"/>
      <c r="AB257" s="1"/>
      <c r="AF257" s="1"/>
      <c r="AJ257" s="1"/>
      <c r="AL257" s="1"/>
    </row>
    <row r="258" spans="1:38" ht="13.8" x14ac:dyDescent="0.25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1"/>
      <c r="M258" s="11"/>
      <c r="N258" s="12"/>
      <c r="O258" s="12"/>
      <c r="P258" s="10"/>
      <c r="Q258" s="10"/>
      <c r="R258" s="10"/>
      <c r="S258" s="13">
        <f>SUM(Table32[[#This Row],[Female ( age less than 17)]:[Male ( More than 18)2]])</f>
        <v>0</v>
      </c>
      <c r="T258" s="10"/>
      <c r="U258" s="10"/>
      <c r="V258" s="10"/>
      <c r="W258" s="10"/>
      <c r="X258" s="10"/>
      <c r="Z258" s="1"/>
      <c r="AB258" s="1"/>
      <c r="AF258" s="1"/>
      <c r="AJ258" s="1"/>
      <c r="AL258" s="1"/>
    </row>
    <row r="259" spans="1:38" ht="13.8" x14ac:dyDescent="0.25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1"/>
      <c r="M259" s="11"/>
      <c r="N259" s="12"/>
      <c r="O259" s="12"/>
      <c r="P259" s="10"/>
      <c r="Q259" s="10"/>
      <c r="R259" s="10"/>
      <c r="S259" s="13">
        <f>SUM(Table32[[#This Row],[Female ( age less than 17)]:[Male ( More than 18)2]])</f>
        <v>0</v>
      </c>
      <c r="T259" s="10"/>
      <c r="U259" s="10"/>
      <c r="V259" s="10"/>
      <c r="W259" s="10"/>
      <c r="X259" s="10"/>
      <c r="Z259" s="1"/>
      <c r="AB259" s="1"/>
      <c r="AF259" s="1"/>
      <c r="AJ259" s="1"/>
      <c r="AL259" s="1"/>
    </row>
    <row r="260" spans="1:38" ht="13.8" x14ac:dyDescent="0.25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1"/>
      <c r="M260" s="11"/>
      <c r="N260" s="12"/>
      <c r="O260" s="12"/>
      <c r="P260" s="10"/>
      <c r="Q260" s="10"/>
      <c r="R260" s="10"/>
      <c r="S260" s="13">
        <f>SUM(Table32[[#This Row],[Female ( age less than 17)]:[Male ( More than 18)2]])</f>
        <v>0</v>
      </c>
      <c r="T260" s="10"/>
      <c r="U260" s="10"/>
      <c r="V260" s="10"/>
      <c r="W260" s="10"/>
      <c r="X260" s="10"/>
      <c r="Z260" s="1"/>
      <c r="AB260" s="1"/>
      <c r="AF260" s="1"/>
      <c r="AJ260" s="1"/>
      <c r="AL260" s="1"/>
    </row>
    <row r="261" spans="1:38" ht="13.8" x14ac:dyDescent="0.25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1"/>
      <c r="M261" s="11"/>
      <c r="N261" s="12"/>
      <c r="O261" s="12"/>
      <c r="P261" s="10"/>
      <c r="Q261" s="10"/>
      <c r="R261" s="10"/>
      <c r="S261" s="13">
        <f>SUM(Table32[[#This Row],[Female ( age less than 17)]:[Male ( More than 18)2]])</f>
        <v>0</v>
      </c>
      <c r="T261" s="10"/>
      <c r="U261" s="10"/>
      <c r="V261" s="10"/>
      <c r="W261" s="10"/>
      <c r="X261" s="10"/>
      <c r="Z261" s="1"/>
      <c r="AB261" s="1"/>
      <c r="AF261" s="1"/>
      <c r="AJ261" s="1"/>
      <c r="AL261" s="1"/>
    </row>
    <row r="262" spans="1:38" ht="13.8" x14ac:dyDescent="0.25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1"/>
      <c r="M262" s="11"/>
      <c r="N262" s="12"/>
      <c r="O262" s="12"/>
      <c r="P262" s="10"/>
      <c r="Q262" s="10"/>
      <c r="R262" s="10"/>
      <c r="S262" s="13">
        <f>SUM(Table32[[#This Row],[Female ( age less than 17)]:[Male ( More than 18)2]])</f>
        <v>0</v>
      </c>
      <c r="T262" s="10"/>
      <c r="U262" s="10"/>
      <c r="V262" s="10"/>
      <c r="W262" s="10"/>
      <c r="X262" s="10"/>
      <c r="Z262" s="1"/>
      <c r="AB262" s="1"/>
      <c r="AF262" s="1"/>
      <c r="AJ262" s="1"/>
      <c r="AL262" s="1"/>
    </row>
    <row r="263" spans="1:38" ht="13.8" x14ac:dyDescent="0.25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1"/>
      <c r="M263" s="11"/>
      <c r="N263" s="12"/>
      <c r="O263" s="12"/>
      <c r="P263" s="10"/>
      <c r="Q263" s="10"/>
      <c r="R263" s="10"/>
      <c r="S263" s="13">
        <f>SUM(Table32[[#This Row],[Female ( age less than 17)]:[Male ( More than 18)2]])</f>
        <v>0</v>
      </c>
      <c r="T263" s="10"/>
      <c r="U263" s="10"/>
      <c r="V263" s="10"/>
      <c r="W263" s="10"/>
      <c r="X263" s="10"/>
      <c r="Z263" s="1"/>
      <c r="AB263" s="1"/>
      <c r="AF263" s="1"/>
      <c r="AJ263" s="1"/>
      <c r="AL263" s="1"/>
    </row>
    <row r="264" spans="1:38" ht="13.8" x14ac:dyDescent="0.25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1"/>
      <c r="M264" s="11"/>
      <c r="N264" s="12"/>
      <c r="O264" s="12"/>
      <c r="P264" s="10"/>
      <c r="Q264" s="10"/>
      <c r="R264" s="10"/>
      <c r="S264" s="13">
        <f>SUM(Table32[[#This Row],[Female ( age less than 17)]:[Male ( More than 18)2]])</f>
        <v>0</v>
      </c>
      <c r="T264" s="10"/>
      <c r="U264" s="10"/>
      <c r="V264" s="10"/>
      <c r="W264" s="10"/>
      <c r="X264" s="10"/>
      <c r="Z264" s="1"/>
      <c r="AB264" s="1"/>
      <c r="AF264" s="1"/>
      <c r="AJ264" s="1"/>
      <c r="AL264" s="1"/>
    </row>
    <row r="265" spans="1:38" ht="13.8" x14ac:dyDescent="0.25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1"/>
      <c r="M265" s="11"/>
      <c r="N265" s="12"/>
      <c r="O265" s="12"/>
      <c r="P265" s="10"/>
      <c r="Q265" s="10"/>
      <c r="R265" s="10"/>
      <c r="S265" s="13">
        <f>SUM(Table32[[#This Row],[Female ( age less than 17)]:[Male ( More than 18)2]])</f>
        <v>0</v>
      </c>
      <c r="T265" s="10"/>
      <c r="U265" s="10"/>
      <c r="V265" s="10"/>
      <c r="W265" s="10"/>
      <c r="X265" s="10"/>
      <c r="Z265" s="1"/>
      <c r="AB265" s="1"/>
      <c r="AF265" s="1"/>
      <c r="AJ265" s="1"/>
      <c r="AL265" s="1"/>
    </row>
    <row r="266" spans="1:38" ht="13.8" x14ac:dyDescent="0.25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1"/>
      <c r="M266" s="11"/>
      <c r="N266" s="12"/>
      <c r="O266" s="12"/>
      <c r="P266" s="10"/>
      <c r="Q266" s="10"/>
      <c r="R266" s="10"/>
      <c r="S266" s="13">
        <f>SUM(Table32[[#This Row],[Female ( age less than 17)]:[Male ( More than 18)2]])</f>
        <v>0</v>
      </c>
      <c r="T266" s="10"/>
      <c r="U266" s="10"/>
      <c r="V266" s="10"/>
      <c r="W266" s="10"/>
      <c r="X266" s="10"/>
      <c r="Z266" s="1"/>
      <c r="AB266" s="1"/>
      <c r="AF266" s="1"/>
      <c r="AJ266" s="1"/>
      <c r="AL266" s="1"/>
    </row>
    <row r="267" spans="1:38" ht="13.8" x14ac:dyDescent="0.25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1"/>
      <c r="M267" s="11"/>
      <c r="N267" s="12"/>
      <c r="O267" s="12"/>
      <c r="P267" s="10"/>
      <c r="Q267" s="10"/>
      <c r="R267" s="10"/>
      <c r="S267" s="13">
        <f>SUM(Table32[[#This Row],[Female ( age less than 17)]:[Male ( More than 18)2]])</f>
        <v>0</v>
      </c>
      <c r="T267" s="10"/>
      <c r="U267" s="10"/>
      <c r="V267" s="10"/>
      <c r="W267" s="10"/>
      <c r="X267" s="10"/>
      <c r="Z267" s="1"/>
      <c r="AB267" s="1"/>
      <c r="AF267" s="1"/>
      <c r="AJ267" s="1"/>
      <c r="AL267" s="1"/>
    </row>
    <row r="268" spans="1:38" ht="13.8" x14ac:dyDescent="0.25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1"/>
      <c r="M268" s="11"/>
      <c r="N268" s="12"/>
      <c r="O268" s="12"/>
      <c r="P268" s="10"/>
      <c r="Q268" s="10"/>
      <c r="R268" s="10"/>
      <c r="S268" s="13">
        <f>SUM(Table32[[#This Row],[Female ( age less than 17)]:[Male ( More than 18)2]])</f>
        <v>0</v>
      </c>
      <c r="T268" s="10"/>
      <c r="U268" s="10"/>
      <c r="V268" s="10"/>
      <c r="W268" s="10"/>
      <c r="X268" s="10"/>
      <c r="Z268" s="1"/>
      <c r="AB268" s="1"/>
      <c r="AF268" s="1"/>
      <c r="AJ268" s="1"/>
      <c r="AL268" s="1"/>
    </row>
    <row r="269" spans="1:38" ht="13.8" x14ac:dyDescent="0.25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1"/>
      <c r="M269" s="11"/>
      <c r="N269" s="12"/>
      <c r="O269" s="12"/>
      <c r="P269" s="10"/>
      <c r="Q269" s="10"/>
      <c r="R269" s="10"/>
      <c r="S269" s="13">
        <f>SUM(Table32[[#This Row],[Female ( age less than 17)]:[Male ( More than 18)2]])</f>
        <v>0</v>
      </c>
      <c r="T269" s="10"/>
      <c r="U269" s="10"/>
      <c r="V269" s="10"/>
      <c r="W269" s="10"/>
      <c r="X269" s="10"/>
      <c r="Z269" s="1"/>
      <c r="AB269" s="1"/>
      <c r="AF269" s="1"/>
      <c r="AJ269" s="1"/>
      <c r="AL269" s="1"/>
    </row>
    <row r="270" spans="1:38" ht="13.8" x14ac:dyDescent="0.25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1"/>
      <c r="M270" s="11"/>
      <c r="N270" s="12"/>
      <c r="O270" s="12"/>
      <c r="P270" s="10"/>
      <c r="Q270" s="10"/>
      <c r="R270" s="10"/>
      <c r="S270" s="13">
        <f>SUM(Table32[[#This Row],[Female ( age less than 17)]:[Male ( More than 18)2]])</f>
        <v>0</v>
      </c>
      <c r="T270" s="10"/>
      <c r="U270" s="10"/>
      <c r="V270" s="10"/>
      <c r="W270" s="10"/>
      <c r="X270" s="10"/>
      <c r="Z270" s="1"/>
      <c r="AB270" s="1"/>
      <c r="AF270" s="1"/>
      <c r="AJ270" s="1"/>
      <c r="AL270" s="1"/>
    </row>
    <row r="271" spans="1:38" ht="13.8" x14ac:dyDescent="0.25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1"/>
      <c r="M271" s="11"/>
      <c r="N271" s="12"/>
      <c r="O271" s="12"/>
      <c r="P271" s="10"/>
      <c r="Q271" s="10"/>
      <c r="R271" s="10"/>
      <c r="S271" s="13">
        <f>SUM(Table32[[#This Row],[Female ( age less than 17)]:[Male ( More than 18)2]])</f>
        <v>0</v>
      </c>
      <c r="T271" s="10"/>
      <c r="U271" s="10"/>
      <c r="V271" s="10"/>
      <c r="W271" s="10"/>
      <c r="X271" s="10"/>
      <c r="Z271" s="1"/>
      <c r="AB271" s="1"/>
      <c r="AF271" s="1"/>
      <c r="AJ271" s="1"/>
      <c r="AL271" s="1"/>
    </row>
    <row r="272" spans="1:38" ht="13.8" x14ac:dyDescent="0.25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1"/>
      <c r="M272" s="11"/>
      <c r="N272" s="12"/>
      <c r="O272" s="12"/>
      <c r="P272" s="10"/>
      <c r="Q272" s="10"/>
      <c r="R272" s="10"/>
      <c r="S272" s="13">
        <f>SUM(Table32[[#This Row],[Female ( age less than 17)]:[Male ( More than 18)2]])</f>
        <v>0</v>
      </c>
      <c r="T272" s="10"/>
      <c r="U272" s="10"/>
      <c r="V272" s="10"/>
      <c r="W272" s="10"/>
      <c r="X272" s="10"/>
      <c r="Z272" s="1"/>
      <c r="AB272" s="1"/>
      <c r="AF272" s="1"/>
      <c r="AJ272" s="1"/>
      <c r="AL272" s="1"/>
    </row>
    <row r="273" spans="1:38" ht="13.8" x14ac:dyDescent="0.25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1"/>
      <c r="M273" s="11"/>
      <c r="N273" s="12"/>
      <c r="O273" s="12"/>
      <c r="P273" s="10"/>
      <c r="Q273" s="10"/>
      <c r="R273" s="10"/>
      <c r="S273" s="13">
        <f>SUM(Table32[[#This Row],[Female ( age less than 17)]:[Male ( More than 18)2]])</f>
        <v>0</v>
      </c>
      <c r="T273" s="10"/>
      <c r="U273" s="10"/>
      <c r="V273" s="10"/>
      <c r="W273" s="10"/>
      <c r="X273" s="10"/>
      <c r="Z273" s="1"/>
      <c r="AB273" s="1"/>
      <c r="AF273" s="1"/>
      <c r="AJ273" s="1"/>
      <c r="AL273" s="1"/>
    </row>
    <row r="274" spans="1:38" ht="13.8" x14ac:dyDescent="0.25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1"/>
      <c r="M274" s="11"/>
      <c r="N274" s="12"/>
      <c r="O274" s="12"/>
      <c r="P274" s="10"/>
      <c r="Q274" s="10"/>
      <c r="R274" s="10"/>
      <c r="S274" s="13">
        <f>SUM(Table32[[#This Row],[Female ( age less than 17)]:[Male ( More than 18)2]])</f>
        <v>0</v>
      </c>
      <c r="T274" s="10"/>
      <c r="U274" s="10"/>
      <c r="V274" s="10"/>
      <c r="W274" s="10"/>
      <c r="X274" s="10"/>
      <c r="Z274" s="1"/>
      <c r="AB274" s="1"/>
      <c r="AF274" s="1"/>
      <c r="AJ274" s="1"/>
      <c r="AL274" s="1"/>
    </row>
    <row r="275" spans="1:38" ht="13.8" x14ac:dyDescent="0.25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1"/>
      <c r="M275" s="11"/>
      <c r="N275" s="12"/>
      <c r="O275" s="12"/>
      <c r="P275" s="10"/>
      <c r="Q275" s="10"/>
      <c r="R275" s="10"/>
      <c r="S275" s="13">
        <f>SUM(Table32[[#This Row],[Female ( age less than 17)]:[Male ( More than 18)2]])</f>
        <v>0</v>
      </c>
      <c r="T275" s="10"/>
      <c r="U275" s="10"/>
      <c r="V275" s="10"/>
      <c r="W275" s="10"/>
      <c r="X275" s="10"/>
      <c r="Z275" s="1"/>
      <c r="AB275" s="1"/>
      <c r="AF275" s="1"/>
      <c r="AJ275" s="1"/>
      <c r="AL275" s="1"/>
    </row>
    <row r="276" spans="1:38" ht="13.8" x14ac:dyDescent="0.25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1"/>
      <c r="M276" s="11"/>
      <c r="N276" s="12"/>
      <c r="O276" s="12"/>
      <c r="P276" s="10"/>
      <c r="Q276" s="10"/>
      <c r="R276" s="10"/>
      <c r="S276" s="13">
        <f>SUM(Table32[[#This Row],[Female ( age less than 17)]:[Male ( More than 18)2]])</f>
        <v>0</v>
      </c>
      <c r="T276" s="10"/>
      <c r="U276" s="10"/>
      <c r="V276" s="10"/>
      <c r="W276" s="10"/>
      <c r="X276" s="10"/>
      <c r="Z276" s="1"/>
      <c r="AB276" s="1"/>
      <c r="AF276" s="1"/>
      <c r="AJ276" s="1"/>
      <c r="AL276" s="1"/>
    </row>
    <row r="277" spans="1:38" ht="13.8" x14ac:dyDescent="0.25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1"/>
      <c r="M277" s="11"/>
      <c r="N277" s="12"/>
      <c r="O277" s="12"/>
      <c r="P277" s="10"/>
      <c r="Q277" s="10"/>
      <c r="R277" s="10"/>
      <c r="S277" s="13">
        <f>SUM(Table32[[#This Row],[Female ( age less than 17)]:[Male ( More than 18)2]])</f>
        <v>0</v>
      </c>
      <c r="T277" s="10"/>
      <c r="U277" s="10"/>
      <c r="V277" s="10"/>
      <c r="W277" s="10"/>
      <c r="X277" s="10"/>
      <c r="Z277" s="1"/>
      <c r="AB277" s="1"/>
      <c r="AF277" s="1"/>
      <c r="AJ277" s="1"/>
      <c r="AL277" s="1"/>
    </row>
    <row r="278" spans="1:38" ht="13.8" x14ac:dyDescent="0.25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1"/>
      <c r="M278" s="11"/>
      <c r="N278" s="12"/>
      <c r="O278" s="12"/>
      <c r="P278" s="10"/>
      <c r="Q278" s="10"/>
      <c r="R278" s="10"/>
      <c r="S278" s="13">
        <f>SUM(Table32[[#This Row],[Female ( age less than 17)]:[Male ( More than 18)2]])</f>
        <v>0</v>
      </c>
      <c r="T278" s="10"/>
      <c r="U278" s="10"/>
      <c r="V278" s="10"/>
      <c r="W278" s="10"/>
      <c r="X278" s="10"/>
      <c r="Z278" s="1"/>
      <c r="AB278" s="1"/>
      <c r="AF278" s="1"/>
      <c r="AJ278" s="1"/>
      <c r="AL278" s="1"/>
    </row>
    <row r="279" spans="1:38" ht="13.8" x14ac:dyDescent="0.25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1"/>
      <c r="M279" s="11"/>
      <c r="N279" s="12"/>
      <c r="O279" s="12"/>
      <c r="P279" s="10"/>
      <c r="Q279" s="10"/>
      <c r="R279" s="10"/>
      <c r="S279" s="13">
        <f>SUM(Table32[[#This Row],[Female ( age less than 17)]:[Male ( More than 18)2]])</f>
        <v>0</v>
      </c>
      <c r="T279" s="10"/>
      <c r="U279" s="10"/>
      <c r="V279" s="10"/>
      <c r="W279" s="10"/>
      <c r="X279" s="10"/>
      <c r="Z279" s="1"/>
      <c r="AB279" s="1"/>
      <c r="AF279" s="1"/>
      <c r="AJ279" s="1"/>
      <c r="AL279" s="1"/>
    </row>
    <row r="280" spans="1:38" ht="13.8" x14ac:dyDescent="0.25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1"/>
      <c r="M280" s="11"/>
      <c r="N280" s="12"/>
      <c r="O280" s="12"/>
      <c r="P280" s="10"/>
      <c r="Q280" s="10"/>
      <c r="R280" s="10"/>
      <c r="S280" s="13">
        <f>SUM(Table32[[#This Row],[Female ( age less than 17)]:[Male ( More than 18)2]])</f>
        <v>0</v>
      </c>
      <c r="T280" s="10"/>
      <c r="U280" s="10"/>
      <c r="V280" s="10"/>
      <c r="W280" s="10"/>
      <c r="X280" s="10"/>
      <c r="Z280" s="1"/>
      <c r="AB280" s="1"/>
      <c r="AF280" s="1"/>
      <c r="AJ280" s="1"/>
      <c r="AL280" s="1"/>
    </row>
    <row r="281" spans="1:38" ht="13.8" x14ac:dyDescent="0.25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1"/>
      <c r="M281" s="11"/>
      <c r="N281" s="12"/>
      <c r="O281" s="12"/>
      <c r="P281" s="10"/>
      <c r="Q281" s="10"/>
      <c r="R281" s="10"/>
      <c r="S281" s="13">
        <f>SUM(Table32[[#This Row],[Female ( age less than 17)]:[Male ( More than 18)2]])</f>
        <v>0</v>
      </c>
      <c r="T281" s="10"/>
      <c r="U281" s="10"/>
      <c r="V281" s="10"/>
      <c r="W281" s="10"/>
      <c r="X281" s="10"/>
      <c r="Z281" s="1"/>
      <c r="AB281" s="1"/>
      <c r="AF281" s="1"/>
      <c r="AJ281" s="1"/>
      <c r="AL281" s="1"/>
    </row>
    <row r="282" spans="1:38" ht="13.8" x14ac:dyDescent="0.25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1"/>
      <c r="M282" s="11"/>
      <c r="N282" s="12"/>
      <c r="O282" s="12"/>
      <c r="P282" s="10"/>
      <c r="Q282" s="10"/>
      <c r="R282" s="10"/>
      <c r="S282" s="13">
        <f>SUM(Table32[[#This Row],[Female ( age less than 17)]:[Male ( More than 18)2]])</f>
        <v>0</v>
      </c>
      <c r="T282" s="10"/>
      <c r="U282" s="10"/>
      <c r="V282" s="10"/>
      <c r="W282" s="10"/>
      <c r="X282" s="10"/>
      <c r="Z282" s="1"/>
      <c r="AB282" s="1"/>
      <c r="AF282" s="1"/>
      <c r="AJ282" s="1"/>
      <c r="AL282" s="1"/>
    </row>
    <row r="283" spans="1:38" ht="13.8" x14ac:dyDescent="0.25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1"/>
      <c r="M283" s="11"/>
      <c r="N283" s="12"/>
      <c r="O283" s="12"/>
      <c r="P283" s="10"/>
      <c r="Q283" s="10"/>
      <c r="R283" s="10"/>
      <c r="S283" s="13">
        <f>SUM(Table32[[#This Row],[Female ( age less than 17)]:[Male ( More than 18)2]])</f>
        <v>0</v>
      </c>
      <c r="T283" s="10"/>
      <c r="U283" s="10"/>
      <c r="V283" s="10"/>
      <c r="W283" s="10"/>
      <c r="X283" s="10"/>
      <c r="Z283" s="1"/>
      <c r="AB283" s="1"/>
      <c r="AF283" s="1"/>
      <c r="AJ283" s="1"/>
      <c r="AL283" s="1"/>
    </row>
    <row r="284" spans="1:38" ht="13.8" x14ac:dyDescent="0.25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1"/>
      <c r="M284" s="11"/>
      <c r="N284" s="12"/>
      <c r="O284" s="12"/>
      <c r="P284" s="10"/>
      <c r="Q284" s="10"/>
      <c r="R284" s="10"/>
      <c r="S284" s="13">
        <f>SUM(Table32[[#This Row],[Female ( age less than 17)]:[Male ( More than 18)2]])</f>
        <v>0</v>
      </c>
      <c r="T284" s="10"/>
      <c r="U284" s="10"/>
      <c r="V284" s="10"/>
      <c r="W284" s="10"/>
      <c r="X284" s="10"/>
      <c r="Z284" s="1"/>
      <c r="AB284" s="1"/>
      <c r="AF284" s="1"/>
      <c r="AJ284" s="1"/>
      <c r="AL284" s="1"/>
    </row>
    <row r="285" spans="1:38" ht="13.8" x14ac:dyDescent="0.25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1"/>
      <c r="M285" s="11"/>
      <c r="N285" s="12"/>
      <c r="O285" s="12"/>
      <c r="P285" s="10"/>
      <c r="Q285" s="10"/>
      <c r="R285" s="10"/>
      <c r="S285" s="13">
        <f>SUM(Table32[[#This Row],[Female ( age less than 17)]:[Male ( More than 18)2]])</f>
        <v>0</v>
      </c>
      <c r="T285" s="10"/>
      <c r="U285" s="10"/>
      <c r="V285" s="10"/>
      <c r="W285" s="10"/>
      <c r="X285" s="10"/>
      <c r="Z285" s="1"/>
      <c r="AB285" s="1"/>
      <c r="AF285" s="1"/>
      <c r="AJ285" s="1"/>
      <c r="AL285" s="1"/>
    </row>
    <row r="286" spans="1:38" ht="13.8" x14ac:dyDescent="0.25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1"/>
      <c r="M286" s="11"/>
      <c r="N286" s="12"/>
      <c r="O286" s="12"/>
      <c r="P286" s="10"/>
      <c r="Q286" s="10"/>
      <c r="R286" s="10"/>
      <c r="S286" s="13">
        <f>SUM(Table32[[#This Row],[Female ( age less than 17)]:[Male ( More than 18)2]])</f>
        <v>0</v>
      </c>
      <c r="T286" s="10"/>
      <c r="U286" s="10"/>
      <c r="V286" s="10"/>
      <c r="W286" s="10"/>
      <c r="X286" s="10"/>
      <c r="Z286" s="1"/>
      <c r="AB286" s="1"/>
      <c r="AF286" s="1"/>
      <c r="AJ286" s="1"/>
      <c r="AL286" s="1"/>
    </row>
    <row r="287" spans="1:38" ht="13.8" x14ac:dyDescent="0.25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1"/>
      <c r="M287" s="11"/>
      <c r="N287" s="12"/>
      <c r="O287" s="12"/>
      <c r="P287" s="10"/>
      <c r="Q287" s="10"/>
      <c r="R287" s="10"/>
      <c r="S287" s="13">
        <f>SUM(Table32[[#This Row],[Female ( age less than 17)]:[Male ( More than 18)2]])</f>
        <v>0</v>
      </c>
      <c r="T287" s="10"/>
      <c r="U287" s="10"/>
      <c r="V287" s="10"/>
      <c r="W287" s="10"/>
      <c r="X287" s="10"/>
      <c r="Z287" s="1"/>
      <c r="AB287" s="1"/>
      <c r="AF287" s="1"/>
      <c r="AJ287" s="1"/>
      <c r="AL287" s="1"/>
    </row>
    <row r="288" spans="1:38" ht="13.8" x14ac:dyDescent="0.25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1"/>
      <c r="M288" s="11"/>
      <c r="N288" s="12"/>
      <c r="O288" s="12"/>
      <c r="P288" s="10"/>
      <c r="Q288" s="10"/>
      <c r="R288" s="10"/>
      <c r="S288" s="13">
        <f>SUM(Table32[[#This Row],[Female ( age less than 17)]:[Male ( More than 18)2]])</f>
        <v>0</v>
      </c>
      <c r="T288" s="10"/>
      <c r="U288" s="10"/>
      <c r="V288" s="10"/>
      <c r="W288" s="10"/>
      <c r="X288" s="10"/>
      <c r="Z288" s="1"/>
      <c r="AB288" s="1"/>
      <c r="AF288" s="1"/>
      <c r="AJ288" s="1"/>
      <c r="AL288" s="1"/>
    </row>
    <row r="289" spans="1:38" ht="13.8" x14ac:dyDescent="0.25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1"/>
      <c r="M289" s="11"/>
      <c r="N289" s="12"/>
      <c r="O289" s="12"/>
      <c r="P289" s="10"/>
      <c r="Q289" s="10"/>
      <c r="R289" s="10"/>
      <c r="S289" s="13">
        <f>SUM(Table32[[#This Row],[Female ( age less than 17)]:[Male ( More than 18)2]])</f>
        <v>0</v>
      </c>
      <c r="T289" s="10"/>
      <c r="U289" s="10"/>
      <c r="V289" s="10"/>
      <c r="W289" s="10"/>
      <c r="X289" s="10"/>
      <c r="Z289" s="1"/>
      <c r="AB289" s="1"/>
      <c r="AF289" s="1"/>
      <c r="AJ289" s="1"/>
      <c r="AL289" s="1"/>
    </row>
    <row r="290" spans="1:38" ht="13.8" x14ac:dyDescent="0.25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1"/>
      <c r="M290" s="11"/>
      <c r="N290" s="12"/>
      <c r="O290" s="12"/>
      <c r="P290" s="10"/>
      <c r="Q290" s="10"/>
      <c r="R290" s="10"/>
      <c r="S290" s="13">
        <f>SUM(Table32[[#This Row],[Female ( age less than 17)]:[Male ( More than 18)2]])</f>
        <v>0</v>
      </c>
      <c r="T290" s="10"/>
      <c r="U290" s="10"/>
      <c r="V290" s="10"/>
      <c r="W290" s="10"/>
      <c r="X290" s="10"/>
      <c r="Z290" s="1"/>
      <c r="AB290" s="1"/>
      <c r="AF290" s="1"/>
      <c r="AJ290" s="1"/>
      <c r="AL290" s="1"/>
    </row>
    <row r="291" spans="1:38" ht="13.8" x14ac:dyDescent="0.25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1"/>
      <c r="M291" s="11"/>
      <c r="N291" s="12"/>
      <c r="O291" s="12"/>
      <c r="P291" s="10"/>
      <c r="Q291" s="10"/>
      <c r="R291" s="10"/>
      <c r="S291" s="13">
        <f>SUM(Table32[[#This Row],[Female ( age less than 17)]:[Male ( More than 18)2]])</f>
        <v>0</v>
      </c>
      <c r="T291" s="10"/>
      <c r="U291" s="10"/>
      <c r="V291" s="10"/>
      <c r="W291" s="10"/>
      <c r="X291" s="10"/>
      <c r="Z291" s="1"/>
      <c r="AB291" s="1"/>
      <c r="AF291" s="1"/>
      <c r="AJ291" s="1"/>
      <c r="AL291" s="1"/>
    </row>
    <row r="292" spans="1:38" ht="13.8" x14ac:dyDescent="0.25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1"/>
      <c r="M292" s="11"/>
      <c r="N292" s="12"/>
      <c r="O292" s="12"/>
      <c r="P292" s="10"/>
      <c r="Q292" s="10"/>
      <c r="R292" s="10"/>
      <c r="S292" s="13">
        <f>SUM(Table32[[#This Row],[Female ( age less than 17)]:[Male ( More than 18)2]])</f>
        <v>0</v>
      </c>
      <c r="T292" s="10"/>
      <c r="U292" s="10"/>
      <c r="V292" s="10"/>
      <c r="W292" s="10"/>
      <c r="X292" s="10"/>
      <c r="Z292" s="1"/>
      <c r="AB292" s="1"/>
      <c r="AF292" s="1"/>
      <c r="AJ292" s="1"/>
      <c r="AL292" s="1"/>
    </row>
    <row r="293" spans="1:38" ht="13.8" x14ac:dyDescent="0.25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1"/>
      <c r="M293" s="11"/>
      <c r="N293" s="12"/>
      <c r="O293" s="12"/>
      <c r="P293" s="10"/>
      <c r="Q293" s="10"/>
      <c r="R293" s="10"/>
      <c r="S293" s="13">
        <f>SUM(Table32[[#This Row],[Female ( age less than 17)]:[Male ( More than 18)2]])</f>
        <v>0</v>
      </c>
      <c r="T293" s="10"/>
      <c r="U293" s="10"/>
      <c r="V293" s="10"/>
      <c r="W293" s="10"/>
      <c r="X293" s="10"/>
      <c r="Z293" s="1"/>
      <c r="AB293" s="1"/>
      <c r="AF293" s="1"/>
      <c r="AJ293" s="1"/>
      <c r="AL293" s="1"/>
    </row>
    <row r="294" spans="1:38" ht="13.8" x14ac:dyDescent="0.25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1"/>
      <c r="M294" s="11"/>
      <c r="N294" s="12"/>
      <c r="O294" s="12"/>
      <c r="P294" s="10"/>
      <c r="Q294" s="10"/>
      <c r="R294" s="10"/>
      <c r="S294" s="13">
        <f>SUM(Table32[[#This Row],[Female ( age less than 17)]:[Male ( More than 18)2]])</f>
        <v>0</v>
      </c>
      <c r="T294" s="10"/>
      <c r="U294" s="10"/>
      <c r="V294" s="10"/>
      <c r="W294" s="10"/>
      <c r="X294" s="10"/>
      <c r="Z294" s="1"/>
      <c r="AB294" s="1"/>
      <c r="AF294" s="1"/>
      <c r="AJ294" s="1"/>
      <c r="AL294" s="1"/>
    </row>
    <row r="295" spans="1:38" ht="13.8" x14ac:dyDescent="0.25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1"/>
      <c r="M295" s="11"/>
      <c r="N295" s="12"/>
      <c r="O295" s="12"/>
      <c r="P295" s="10"/>
      <c r="Q295" s="10"/>
      <c r="R295" s="10"/>
      <c r="S295" s="13">
        <f>SUM(Table32[[#This Row],[Female ( age less than 17)]:[Male ( More than 18)2]])</f>
        <v>0</v>
      </c>
      <c r="T295" s="10"/>
      <c r="U295" s="10"/>
      <c r="V295" s="10"/>
      <c r="W295" s="10"/>
      <c r="X295" s="10"/>
      <c r="Z295" s="1"/>
      <c r="AB295" s="1"/>
      <c r="AF295" s="1"/>
      <c r="AJ295" s="1"/>
      <c r="AL295" s="1"/>
    </row>
    <row r="296" spans="1:38" ht="13.8" x14ac:dyDescent="0.25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1"/>
      <c r="M296" s="11"/>
      <c r="N296" s="12"/>
      <c r="O296" s="12"/>
      <c r="P296" s="10"/>
      <c r="Q296" s="10"/>
      <c r="R296" s="10"/>
      <c r="S296" s="13">
        <f>SUM(Table32[[#This Row],[Female ( age less than 17)]:[Male ( More than 18)2]])</f>
        <v>0</v>
      </c>
      <c r="T296" s="10"/>
      <c r="U296" s="10"/>
      <c r="V296" s="10"/>
      <c r="W296" s="10"/>
      <c r="X296" s="10"/>
      <c r="Z296" s="1"/>
      <c r="AB296" s="1"/>
      <c r="AF296" s="1"/>
      <c r="AJ296" s="1"/>
      <c r="AL296" s="1"/>
    </row>
    <row r="297" spans="1:38" ht="13.8" x14ac:dyDescent="0.25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1"/>
      <c r="M297" s="11"/>
      <c r="N297" s="12"/>
      <c r="O297" s="12"/>
      <c r="P297" s="10"/>
      <c r="Q297" s="10"/>
      <c r="R297" s="10"/>
      <c r="S297" s="13">
        <f>SUM(Table32[[#This Row],[Female ( age less than 17)]:[Male ( More than 18)2]])</f>
        <v>0</v>
      </c>
      <c r="T297" s="10"/>
      <c r="U297" s="10"/>
      <c r="V297" s="10"/>
      <c r="W297" s="10"/>
      <c r="X297" s="10"/>
      <c r="Z297" s="1"/>
      <c r="AB297" s="1"/>
      <c r="AF297" s="1"/>
      <c r="AJ297" s="1"/>
      <c r="AL297" s="1"/>
    </row>
    <row r="298" spans="1:38" ht="13.8" x14ac:dyDescent="0.25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1"/>
      <c r="M298" s="11"/>
      <c r="N298" s="12"/>
      <c r="O298" s="12"/>
      <c r="P298" s="10"/>
      <c r="Q298" s="10"/>
      <c r="R298" s="10"/>
      <c r="S298" s="13">
        <f>SUM(Table32[[#This Row],[Female ( age less than 17)]:[Male ( More than 18)2]])</f>
        <v>0</v>
      </c>
      <c r="T298" s="10"/>
      <c r="U298" s="10"/>
      <c r="V298" s="10"/>
      <c r="W298" s="10"/>
      <c r="X298" s="10"/>
      <c r="Z298" s="1"/>
      <c r="AB298" s="1"/>
      <c r="AF298" s="1"/>
      <c r="AJ298" s="1"/>
      <c r="AL298" s="1"/>
    </row>
    <row r="299" spans="1:38" ht="13.8" x14ac:dyDescent="0.25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1"/>
      <c r="M299" s="11"/>
      <c r="N299" s="12"/>
      <c r="O299" s="12"/>
      <c r="P299" s="10"/>
      <c r="Q299" s="10"/>
      <c r="R299" s="10"/>
      <c r="S299" s="13">
        <f>SUM(Table32[[#This Row],[Female ( age less than 17)]:[Male ( More than 18)2]])</f>
        <v>0</v>
      </c>
      <c r="T299" s="10"/>
      <c r="U299" s="10"/>
      <c r="V299" s="10"/>
      <c r="W299" s="10"/>
      <c r="X299" s="10"/>
      <c r="Z299" s="1"/>
      <c r="AB299" s="1"/>
      <c r="AF299" s="1"/>
      <c r="AJ299" s="1"/>
      <c r="AL299" s="1"/>
    </row>
    <row r="300" spans="1:38" ht="13.8" x14ac:dyDescent="0.25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1"/>
      <c r="M300" s="11"/>
      <c r="N300" s="12"/>
      <c r="O300" s="12"/>
      <c r="P300" s="10"/>
      <c r="Q300" s="10"/>
      <c r="R300" s="10"/>
      <c r="S300" s="13">
        <f>SUM(Table32[[#This Row],[Female ( age less than 17)]:[Male ( More than 18)2]])</f>
        <v>0</v>
      </c>
      <c r="T300" s="10"/>
      <c r="U300" s="10"/>
      <c r="V300" s="10"/>
      <c r="W300" s="10"/>
      <c r="X300" s="10"/>
      <c r="Z300" s="1"/>
      <c r="AB300" s="1"/>
      <c r="AF300" s="1"/>
      <c r="AJ300" s="1"/>
      <c r="AL300" s="1"/>
    </row>
    <row r="301" spans="1:38" ht="13.8" x14ac:dyDescent="0.25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1"/>
      <c r="M301" s="11"/>
      <c r="N301" s="12"/>
      <c r="O301" s="12"/>
      <c r="P301" s="10"/>
      <c r="Q301" s="10"/>
      <c r="R301" s="10"/>
      <c r="S301" s="13">
        <f>SUM(Table32[[#This Row],[Female ( age less than 17)]:[Male ( More than 18)2]])</f>
        <v>0</v>
      </c>
      <c r="T301" s="10"/>
      <c r="U301" s="10"/>
      <c r="V301" s="10"/>
      <c r="W301" s="10"/>
      <c r="X301" s="10"/>
      <c r="Z301" s="1"/>
      <c r="AB301" s="1"/>
      <c r="AF301" s="1"/>
      <c r="AJ301" s="1"/>
      <c r="AL301" s="1"/>
    </row>
    <row r="302" spans="1:38" ht="13.8" x14ac:dyDescent="0.25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1"/>
      <c r="M302" s="11"/>
      <c r="N302" s="12"/>
      <c r="O302" s="12"/>
      <c r="P302" s="10"/>
      <c r="Q302" s="10"/>
      <c r="R302" s="10"/>
      <c r="S302" s="13">
        <f>SUM(Table32[[#This Row],[Female ( age less than 17)]:[Male ( More than 18)2]])</f>
        <v>0</v>
      </c>
      <c r="T302" s="10"/>
      <c r="U302" s="10"/>
      <c r="V302" s="10"/>
      <c r="W302" s="10"/>
      <c r="X302" s="10"/>
      <c r="Z302" s="1"/>
      <c r="AB302" s="1"/>
      <c r="AF302" s="1"/>
      <c r="AJ302" s="1"/>
      <c r="AL302" s="1"/>
    </row>
    <row r="303" spans="1:38" ht="13.8" x14ac:dyDescent="0.25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1"/>
      <c r="M303" s="11"/>
      <c r="N303" s="12"/>
      <c r="O303" s="12"/>
      <c r="P303" s="10"/>
      <c r="Q303" s="10"/>
      <c r="R303" s="10"/>
      <c r="S303" s="13">
        <f>SUM(Table32[[#This Row],[Female ( age less than 17)]:[Male ( More than 18)2]])</f>
        <v>0</v>
      </c>
      <c r="T303" s="10"/>
      <c r="U303" s="10"/>
      <c r="V303" s="10"/>
      <c r="W303" s="10"/>
      <c r="X303" s="10"/>
      <c r="Z303" s="1"/>
      <c r="AB303" s="1"/>
      <c r="AF303" s="1"/>
      <c r="AJ303" s="1"/>
      <c r="AL303" s="1"/>
    </row>
    <row r="304" spans="1:38" ht="13.8" x14ac:dyDescent="0.25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1"/>
      <c r="M304" s="11"/>
      <c r="N304" s="12"/>
      <c r="O304" s="12"/>
      <c r="P304" s="10"/>
      <c r="Q304" s="10"/>
      <c r="R304" s="10"/>
      <c r="S304" s="13">
        <f>SUM(Table32[[#This Row],[Female ( age less than 17)]:[Male ( More than 18)2]])</f>
        <v>0</v>
      </c>
      <c r="T304" s="10"/>
      <c r="U304" s="10"/>
      <c r="V304" s="10"/>
      <c r="W304" s="10"/>
      <c r="X304" s="10"/>
      <c r="Z304" s="1"/>
      <c r="AB304" s="1"/>
      <c r="AF304" s="1"/>
      <c r="AJ304" s="1"/>
      <c r="AL304" s="1"/>
    </row>
    <row r="305" spans="1:38" ht="13.8" x14ac:dyDescent="0.25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1"/>
      <c r="M305" s="11"/>
      <c r="N305" s="12"/>
      <c r="O305" s="12"/>
      <c r="P305" s="10"/>
      <c r="Q305" s="10"/>
      <c r="R305" s="10"/>
      <c r="S305" s="13">
        <f>SUM(Table32[[#This Row],[Female ( age less than 17)]:[Male ( More than 18)2]])</f>
        <v>0</v>
      </c>
      <c r="T305" s="10"/>
      <c r="U305" s="10"/>
      <c r="V305" s="10"/>
      <c r="W305" s="10"/>
      <c r="X305" s="10"/>
      <c r="Z305" s="1"/>
      <c r="AB305" s="1"/>
      <c r="AF305" s="1"/>
      <c r="AJ305" s="1"/>
      <c r="AL305" s="1"/>
    </row>
    <row r="306" spans="1:38" ht="13.8" x14ac:dyDescent="0.25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1"/>
      <c r="M306" s="11"/>
      <c r="N306" s="12"/>
      <c r="O306" s="12"/>
      <c r="P306" s="10"/>
      <c r="Q306" s="10"/>
      <c r="R306" s="10"/>
      <c r="S306" s="13">
        <f>SUM(Table32[[#This Row],[Female ( age less than 17)]:[Male ( More than 18)2]])</f>
        <v>0</v>
      </c>
      <c r="T306" s="10"/>
      <c r="U306" s="10"/>
      <c r="V306" s="10"/>
      <c r="W306" s="10"/>
      <c r="X306" s="10"/>
      <c r="Z306" s="1"/>
      <c r="AB306" s="1"/>
      <c r="AF306" s="1"/>
      <c r="AJ306" s="1"/>
      <c r="AL306" s="1"/>
    </row>
    <row r="307" spans="1:38" ht="13.8" x14ac:dyDescent="0.25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1"/>
      <c r="M307" s="11"/>
      <c r="N307" s="12"/>
      <c r="O307" s="12"/>
      <c r="P307" s="10"/>
      <c r="Q307" s="10"/>
      <c r="R307" s="10"/>
      <c r="S307" s="13">
        <f>SUM(Table32[[#This Row],[Female ( age less than 17)]:[Male ( More than 18)2]])</f>
        <v>0</v>
      </c>
      <c r="T307" s="10"/>
      <c r="U307" s="10"/>
      <c r="V307" s="10"/>
      <c r="W307" s="10"/>
      <c r="X307" s="10"/>
      <c r="Z307" s="1"/>
      <c r="AB307" s="1"/>
      <c r="AF307" s="1"/>
      <c r="AJ307" s="1"/>
      <c r="AL307" s="1"/>
    </row>
    <row r="308" spans="1:38" ht="13.8" x14ac:dyDescent="0.25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1"/>
      <c r="M308" s="11"/>
      <c r="N308" s="12"/>
      <c r="O308" s="12"/>
      <c r="P308" s="10"/>
      <c r="Q308" s="10"/>
      <c r="R308" s="10"/>
      <c r="S308" s="13">
        <f>SUM(Table32[[#This Row],[Female ( age less than 17)]:[Male ( More than 18)2]])</f>
        <v>0</v>
      </c>
      <c r="T308" s="10"/>
      <c r="U308" s="10"/>
      <c r="V308" s="10"/>
      <c r="W308" s="10"/>
      <c r="X308" s="10"/>
      <c r="Z308" s="1"/>
      <c r="AB308" s="1"/>
      <c r="AF308" s="1"/>
      <c r="AJ308" s="1"/>
      <c r="AL308" s="1"/>
    </row>
    <row r="309" spans="1:38" ht="13.8" x14ac:dyDescent="0.25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1"/>
      <c r="M309" s="11"/>
      <c r="N309" s="12"/>
      <c r="O309" s="12"/>
      <c r="P309" s="10"/>
      <c r="Q309" s="10"/>
      <c r="R309" s="10"/>
      <c r="S309" s="13">
        <f>SUM(Table32[[#This Row],[Female ( age less than 17)]:[Male ( More than 18)2]])</f>
        <v>0</v>
      </c>
      <c r="T309" s="10"/>
      <c r="U309" s="10"/>
      <c r="V309" s="10"/>
      <c r="W309" s="10"/>
      <c r="X309" s="10"/>
      <c r="Z309" s="1"/>
      <c r="AB309" s="1"/>
      <c r="AF309" s="1"/>
      <c r="AJ309" s="1"/>
      <c r="AL309" s="1"/>
    </row>
    <row r="310" spans="1:38" ht="13.8" x14ac:dyDescent="0.25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1"/>
      <c r="M310" s="11"/>
      <c r="N310" s="12"/>
      <c r="O310" s="12"/>
      <c r="P310" s="10"/>
      <c r="Q310" s="10"/>
      <c r="R310" s="10"/>
      <c r="S310" s="13">
        <f>SUM(Table32[[#This Row],[Female ( age less than 17)]:[Male ( More than 18)2]])</f>
        <v>0</v>
      </c>
      <c r="T310" s="10"/>
      <c r="U310" s="10"/>
      <c r="V310" s="10"/>
      <c r="W310" s="10"/>
      <c r="X310" s="10"/>
      <c r="Z310" s="1"/>
      <c r="AB310" s="1"/>
      <c r="AF310" s="1"/>
      <c r="AJ310" s="1"/>
      <c r="AL310" s="1"/>
    </row>
    <row r="311" spans="1:38" ht="13.8" x14ac:dyDescent="0.25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1"/>
      <c r="M311" s="11"/>
      <c r="N311" s="12"/>
      <c r="O311" s="12"/>
      <c r="P311" s="10"/>
      <c r="Q311" s="10"/>
      <c r="R311" s="10"/>
      <c r="S311" s="13">
        <f>SUM(Table32[[#This Row],[Female ( age less than 17)]:[Male ( More than 18)2]])</f>
        <v>0</v>
      </c>
      <c r="T311" s="10"/>
      <c r="U311" s="10"/>
      <c r="V311" s="10"/>
      <c r="W311" s="10"/>
      <c r="X311" s="10"/>
      <c r="Z311" s="1"/>
      <c r="AB311" s="1"/>
      <c r="AF311" s="1"/>
      <c r="AJ311" s="1"/>
      <c r="AL311" s="1"/>
    </row>
    <row r="312" spans="1:38" ht="13.8" x14ac:dyDescent="0.25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1"/>
      <c r="M312" s="11"/>
      <c r="N312" s="12"/>
      <c r="O312" s="12"/>
      <c r="P312" s="10"/>
      <c r="Q312" s="10"/>
      <c r="R312" s="10"/>
      <c r="S312" s="13">
        <f>SUM(Table32[[#This Row],[Female ( age less than 17)]:[Male ( More than 18)2]])</f>
        <v>0</v>
      </c>
      <c r="T312" s="10"/>
      <c r="U312" s="10"/>
      <c r="V312" s="10"/>
      <c r="W312" s="10"/>
      <c r="X312" s="10"/>
      <c r="Z312" s="1"/>
      <c r="AB312" s="1"/>
      <c r="AF312" s="1"/>
      <c r="AJ312" s="1"/>
      <c r="AL312" s="1"/>
    </row>
    <row r="313" spans="1:38" ht="13.8" x14ac:dyDescent="0.25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1"/>
      <c r="M313" s="11"/>
      <c r="N313" s="12"/>
      <c r="O313" s="12"/>
      <c r="P313" s="10"/>
      <c r="Q313" s="10"/>
      <c r="R313" s="10"/>
      <c r="S313" s="13">
        <f>SUM(Table32[[#This Row],[Female ( age less than 17)]:[Male ( More than 18)2]])</f>
        <v>0</v>
      </c>
      <c r="T313" s="10"/>
      <c r="U313" s="10"/>
      <c r="V313" s="10"/>
      <c r="W313" s="10"/>
      <c r="X313" s="10"/>
      <c r="Z313" s="1"/>
      <c r="AB313" s="1"/>
      <c r="AF313" s="1"/>
      <c r="AJ313" s="1"/>
      <c r="AL313" s="1"/>
    </row>
    <row r="314" spans="1:38" ht="13.8" x14ac:dyDescent="0.25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1"/>
      <c r="M314" s="11"/>
      <c r="N314" s="12"/>
      <c r="O314" s="12"/>
      <c r="P314" s="10"/>
      <c r="Q314" s="10"/>
      <c r="R314" s="10"/>
      <c r="S314" s="13">
        <f>SUM(Table32[[#This Row],[Female ( age less than 17)]:[Male ( More than 18)2]])</f>
        <v>0</v>
      </c>
      <c r="T314" s="10"/>
      <c r="U314" s="10"/>
      <c r="V314" s="10"/>
      <c r="W314" s="10"/>
      <c r="X314" s="10"/>
      <c r="Z314" s="1"/>
      <c r="AB314" s="1"/>
      <c r="AF314" s="1"/>
      <c r="AJ314" s="1"/>
      <c r="AL314" s="1"/>
    </row>
    <row r="315" spans="1:38" ht="13.8" x14ac:dyDescent="0.25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1"/>
      <c r="M315" s="11"/>
      <c r="N315" s="12"/>
      <c r="O315" s="12"/>
      <c r="P315" s="10"/>
      <c r="Q315" s="10"/>
      <c r="R315" s="10"/>
      <c r="S315" s="13">
        <f>SUM(Table32[[#This Row],[Female ( age less than 17)]:[Male ( More than 18)2]])</f>
        <v>0</v>
      </c>
      <c r="T315" s="10"/>
      <c r="U315" s="10"/>
      <c r="V315" s="10"/>
      <c r="W315" s="10"/>
      <c r="X315" s="10"/>
      <c r="Z315" s="1"/>
      <c r="AB315" s="1"/>
      <c r="AF315" s="1"/>
      <c r="AJ315" s="1"/>
      <c r="AL315" s="1"/>
    </row>
    <row r="316" spans="1:38" ht="13.8" x14ac:dyDescent="0.25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1"/>
      <c r="M316" s="11"/>
      <c r="N316" s="12"/>
      <c r="O316" s="12"/>
      <c r="P316" s="10"/>
      <c r="Q316" s="10"/>
      <c r="R316" s="10"/>
      <c r="S316" s="13">
        <f>SUM(Table32[[#This Row],[Female ( age less than 17)]:[Male ( More than 18)2]])</f>
        <v>0</v>
      </c>
      <c r="T316" s="10"/>
      <c r="U316" s="10"/>
      <c r="V316" s="10"/>
      <c r="W316" s="10"/>
      <c r="X316" s="10"/>
      <c r="Z316" s="1"/>
      <c r="AB316" s="1"/>
      <c r="AF316" s="1"/>
      <c r="AJ316" s="1"/>
      <c r="AL316" s="1"/>
    </row>
    <row r="317" spans="1:38" ht="13.8" x14ac:dyDescent="0.25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1"/>
      <c r="M317" s="11"/>
      <c r="N317" s="12"/>
      <c r="O317" s="12"/>
      <c r="P317" s="10"/>
      <c r="Q317" s="10"/>
      <c r="R317" s="10"/>
      <c r="S317" s="13">
        <f>SUM(Table32[[#This Row],[Female ( age less than 17)]:[Male ( More than 18)2]])</f>
        <v>0</v>
      </c>
      <c r="T317" s="10"/>
      <c r="U317" s="10"/>
      <c r="V317" s="10"/>
      <c r="W317" s="10"/>
      <c r="X317" s="10"/>
      <c r="Z317" s="1"/>
      <c r="AB317" s="1"/>
      <c r="AF317" s="1"/>
      <c r="AJ317" s="1"/>
      <c r="AL317" s="1"/>
    </row>
    <row r="318" spans="1:38" ht="13.8" x14ac:dyDescent="0.25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1"/>
      <c r="M318" s="11"/>
      <c r="N318" s="12"/>
      <c r="O318" s="12"/>
      <c r="P318" s="10"/>
      <c r="Q318" s="10"/>
      <c r="R318" s="10"/>
      <c r="S318" s="13">
        <f>SUM(Table32[[#This Row],[Female ( age less than 17)]:[Male ( More than 18)2]])</f>
        <v>0</v>
      </c>
      <c r="T318" s="10"/>
      <c r="U318" s="10"/>
      <c r="V318" s="10"/>
      <c r="W318" s="10"/>
      <c r="X318" s="10"/>
      <c r="Z318" s="1"/>
      <c r="AB318" s="1"/>
      <c r="AF318" s="1"/>
      <c r="AJ318" s="1"/>
      <c r="AL318" s="1"/>
    </row>
    <row r="319" spans="1:38" ht="13.8" x14ac:dyDescent="0.25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1"/>
      <c r="M319" s="11"/>
      <c r="N319" s="12"/>
      <c r="O319" s="12"/>
      <c r="P319" s="10"/>
      <c r="Q319" s="10"/>
      <c r="R319" s="10"/>
      <c r="S319" s="13">
        <f>SUM(Table32[[#This Row],[Female ( age less than 17)]:[Male ( More than 18)2]])</f>
        <v>0</v>
      </c>
      <c r="T319" s="10"/>
      <c r="U319" s="10"/>
      <c r="V319" s="10"/>
      <c r="W319" s="10"/>
      <c r="X319" s="10"/>
      <c r="Z319" s="1"/>
      <c r="AB319" s="1"/>
      <c r="AF319" s="1"/>
      <c r="AJ319" s="1"/>
      <c r="AL319" s="1"/>
    </row>
    <row r="320" spans="1:38" ht="13.8" x14ac:dyDescent="0.25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1"/>
      <c r="M320" s="11"/>
      <c r="N320" s="12"/>
      <c r="O320" s="12"/>
      <c r="P320" s="10"/>
      <c r="Q320" s="10"/>
      <c r="R320" s="10"/>
      <c r="S320" s="13">
        <f>SUM(Table32[[#This Row],[Female ( age less than 17)]:[Male ( More than 18)2]])</f>
        <v>0</v>
      </c>
      <c r="T320" s="10"/>
      <c r="U320" s="10"/>
      <c r="V320" s="10"/>
      <c r="W320" s="10"/>
      <c r="X320" s="10"/>
      <c r="Z320" s="1"/>
      <c r="AB320" s="1"/>
      <c r="AF320" s="1"/>
      <c r="AJ320" s="1"/>
      <c r="AL320" s="1"/>
    </row>
    <row r="321" spans="1:38" ht="13.8" x14ac:dyDescent="0.25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1"/>
      <c r="M321" s="11"/>
      <c r="N321" s="12"/>
      <c r="O321" s="12"/>
      <c r="P321" s="10"/>
      <c r="Q321" s="10"/>
      <c r="R321" s="10"/>
      <c r="S321" s="13">
        <f>SUM(Table32[[#This Row],[Female ( age less than 17)]:[Male ( More than 18)2]])</f>
        <v>0</v>
      </c>
      <c r="T321" s="10"/>
      <c r="U321" s="10"/>
      <c r="V321" s="10"/>
      <c r="W321" s="10"/>
      <c r="X321" s="10"/>
      <c r="Z321" s="1"/>
      <c r="AB321" s="1"/>
      <c r="AF321" s="1"/>
      <c r="AJ321" s="1"/>
      <c r="AL321" s="1"/>
    </row>
    <row r="322" spans="1:38" ht="13.8" x14ac:dyDescent="0.25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1"/>
      <c r="M322" s="11"/>
      <c r="N322" s="12"/>
      <c r="O322" s="12"/>
      <c r="P322" s="10"/>
      <c r="Q322" s="10"/>
      <c r="R322" s="10"/>
      <c r="S322" s="13">
        <f>SUM(Table32[[#This Row],[Female ( age less than 17)]:[Male ( More than 18)2]])</f>
        <v>0</v>
      </c>
      <c r="T322" s="10"/>
      <c r="U322" s="10"/>
      <c r="V322" s="10"/>
      <c r="W322" s="10"/>
      <c r="X322" s="10"/>
      <c r="Z322" s="1"/>
      <c r="AB322" s="1"/>
      <c r="AF322" s="1"/>
      <c r="AJ322" s="1"/>
      <c r="AL322" s="1"/>
    </row>
    <row r="323" spans="1:38" ht="13.8" x14ac:dyDescent="0.25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1"/>
      <c r="M323" s="11"/>
      <c r="N323" s="12"/>
      <c r="O323" s="12"/>
      <c r="P323" s="10"/>
      <c r="Q323" s="10"/>
      <c r="R323" s="10"/>
      <c r="S323" s="13">
        <f>SUM(Table32[[#This Row],[Female ( age less than 17)]:[Male ( More than 18)2]])</f>
        <v>0</v>
      </c>
      <c r="T323" s="10"/>
      <c r="U323" s="10"/>
      <c r="V323" s="10"/>
      <c r="W323" s="10"/>
      <c r="X323" s="10"/>
      <c r="Z323" s="1"/>
      <c r="AB323" s="1"/>
      <c r="AF323" s="1"/>
      <c r="AJ323" s="1"/>
      <c r="AL323" s="1"/>
    </row>
    <row r="324" spans="1:38" ht="13.8" x14ac:dyDescent="0.25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1"/>
      <c r="M324" s="11"/>
      <c r="N324" s="12"/>
      <c r="O324" s="12"/>
      <c r="P324" s="10"/>
      <c r="Q324" s="10"/>
      <c r="R324" s="10"/>
      <c r="S324" s="13">
        <f>SUM(Table32[[#This Row],[Female ( age less than 17)]:[Male ( More than 18)2]])</f>
        <v>0</v>
      </c>
      <c r="T324" s="10"/>
      <c r="U324" s="10"/>
      <c r="V324" s="10"/>
      <c r="W324" s="10"/>
      <c r="X324" s="10"/>
      <c r="Z324" s="1"/>
      <c r="AB324" s="1"/>
      <c r="AF324" s="1"/>
      <c r="AJ324" s="1"/>
      <c r="AL324" s="1"/>
    </row>
    <row r="325" spans="1:38" ht="13.8" x14ac:dyDescent="0.25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1"/>
      <c r="M325" s="11"/>
      <c r="N325" s="12"/>
      <c r="O325" s="12"/>
      <c r="P325" s="10"/>
      <c r="Q325" s="10"/>
      <c r="R325" s="10"/>
      <c r="S325" s="13">
        <f>SUM(Table32[[#This Row],[Female ( age less than 17)]:[Male ( More than 18)2]])</f>
        <v>0</v>
      </c>
      <c r="T325" s="10"/>
      <c r="U325" s="10"/>
      <c r="V325" s="10"/>
      <c r="W325" s="10"/>
      <c r="X325" s="10"/>
      <c r="Z325" s="1"/>
      <c r="AB325" s="1"/>
      <c r="AF325" s="1"/>
      <c r="AJ325" s="1"/>
      <c r="AL325" s="1"/>
    </row>
    <row r="326" spans="1:38" ht="13.8" x14ac:dyDescent="0.25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1"/>
      <c r="M326" s="11"/>
      <c r="N326" s="12"/>
      <c r="O326" s="12"/>
      <c r="P326" s="10"/>
      <c r="Q326" s="10"/>
      <c r="R326" s="10"/>
      <c r="S326" s="13">
        <f>SUM(Table32[[#This Row],[Female ( age less than 17)]:[Male ( More than 18)2]])</f>
        <v>0</v>
      </c>
      <c r="T326" s="10"/>
      <c r="U326" s="10"/>
      <c r="V326" s="10"/>
      <c r="W326" s="10"/>
      <c r="X326" s="10"/>
      <c r="Z326" s="1"/>
      <c r="AB326" s="1"/>
      <c r="AF326" s="1"/>
      <c r="AJ326" s="1"/>
      <c r="AL326" s="1"/>
    </row>
    <row r="327" spans="1:38" ht="13.8" x14ac:dyDescent="0.25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1"/>
      <c r="M327" s="11"/>
      <c r="N327" s="12"/>
      <c r="O327" s="12"/>
      <c r="P327" s="10"/>
      <c r="Q327" s="10"/>
      <c r="R327" s="10"/>
      <c r="S327" s="13">
        <f>SUM(Table32[[#This Row],[Female ( age less than 17)]:[Male ( More than 18)2]])</f>
        <v>0</v>
      </c>
      <c r="T327" s="10"/>
      <c r="U327" s="10"/>
      <c r="V327" s="10"/>
      <c r="W327" s="10"/>
      <c r="X327" s="10"/>
      <c r="Z327" s="1"/>
      <c r="AB327" s="1"/>
      <c r="AF327" s="1"/>
      <c r="AJ327" s="1"/>
      <c r="AL327" s="1"/>
    </row>
    <row r="328" spans="1:38" ht="13.8" x14ac:dyDescent="0.25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1"/>
      <c r="M328" s="11"/>
      <c r="N328" s="12"/>
      <c r="O328" s="12"/>
      <c r="P328" s="10"/>
      <c r="Q328" s="10"/>
      <c r="R328" s="10"/>
      <c r="S328" s="13">
        <f>SUM(Table32[[#This Row],[Female ( age less than 17)]:[Male ( More than 18)2]])</f>
        <v>0</v>
      </c>
      <c r="T328" s="10"/>
      <c r="U328" s="10"/>
      <c r="V328" s="10"/>
      <c r="W328" s="10"/>
      <c r="X328" s="10"/>
      <c r="Z328" s="1"/>
      <c r="AB328" s="1"/>
      <c r="AF328" s="1"/>
      <c r="AJ328" s="1"/>
      <c r="AL328" s="1"/>
    </row>
    <row r="329" spans="1:38" ht="13.8" x14ac:dyDescent="0.25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1"/>
      <c r="M329" s="11"/>
      <c r="N329" s="12"/>
      <c r="O329" s="12"/>
      <c r="P329" s="10"/>
      <c r="Q329" s="10"/>
      <c r="R329" s="10"/>
      <c r="S329" s="13">
        <f>SUM(Table32[[#This Row],[Female ( age less than 17)]:[Male ( More than 18)2]])</f>
        <v>0</v>
      </c>
      <c r="T329" s="10"/>
      <c r="U329" s="10"/>
      <c r="V329" s="10"/>
      <c r="W329" s="10"/>
      <c r="X329" s="10"/>
      <c r="Z329" s="1"/>
      <c r="AB329" s="1"/>
      <c r="AF329" s="1"/>
      <c r="AJ329" s="1"/>
      <c r="AL329" s="1"/>
    </row>
    <row r="330" spans="1:38" ht="13.8" x14ac:dyDescent="0.25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1"/>
      <c r="M330" s="11"/>
      <c r="N330" s="12"/>
      <c r="O330" s="12"/>
      <c r="P330" s="10"/>
      <c r="Q330" s="10"/>
      <c r="R330" s="10"/>
      <c r="S330" s="13">
        <f>SUM(Table32[[#This Row],[Female ( age less than 17)]:[Male ( More than 18)2]])</f>
        <v>0</v>
      </c>
      <c r="T330" s="10"/>
      <c r="U330" s="10"/>
      <c r="V330" s="10"/>
      <c r="W330" s="10"/>
      <c r="X330" s="10"/>
      <c r="Z330" s="1"/>
      <c r="AB330" s="1"/>
      <c r="AF330" s="1"/>
      <c r="AJ330" s="1"/>
      <c r="AL330" s="1"/>
    </row>
    <row r="331" spans="1:38" ht="13.8" x14ac:dyDescent="0.25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1"/>
      <c r="M331" s="11"/>
      <c r="N331" s="12"/>
      <c r="O331" s="12"/>
      <c r="P331" s="10"/>
      <c r="Q331" s="10"/>
      <c r="R331" s="10"/>
      <c r="S331" s="13">
        <f>SUM(Table32[[#This Row],[Female ( age less than 17)]:[Male ( More than 18)2]])</f>
        <v>0</v>
      </c>
      <c r="T331" s="10"/>
      <c r="U331" s="10"/>
      <c r="V331" s="10"/>
      <c r="W331" s="10"/>
      <c r="X331" s="10"/>
      <c r="Z331" s="1"/>
      <c r="AB331" s="1"/>
      <c r="AF331" s="1"/>
      <c r="AJ331" s="1"/>
      <c r="AL331" s="1"/>
    </row>
    <row r="332" spans="1:38" ht="13.8" x14ac:dyDescent="0.25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1"/>
      <c r="M332" s="11"/>
      <c r="N332" s="12"/>
      <c r="O332" s="12"/>
      <c r="P332" s="10"/>
      <c r="Q332" s="10"/>
      <c r="R332" s="10"/>
      <c r="S332" s="13">
        <f>SUM(Table32[[#This Row],[Female ( age less than 17)]:[Male ( More than 18)2]])</f>
        <v>0</v>
      </c>
      <c r="T332" s="10"/>
      <c r="U332" s="10"/>
      <c r="V332" s="10"/>
      <c r="W332" s="10"/>
      <c r="X332" s="10"/>
      <c r="Z332" s="1"/>
      <c r="AB332" s="1"/>
      <c r="AF332" s="1"/>
      <c r="AJ332" s="1"/>
      <c r="AL332" s="1"/>
    </row>
    <row r="333" spans="1:38" ht="13.8" x14ac:dyDescent="0.25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1"/>
      <c r="M333" s="11"/>
      <c r="N333" s="12"/>
      <c r="O333" s="12"/>
      <c r="P333" s="10"/>
      <c r="Q333" s="10"/>
      <c r="R333" s="10"/>
      <c r="S333" s="13">
        <f>SUM(Table32[[#This Row],[Female ( age less than 17)]:[Male ( More than 18)2]])</f>
        <v>0</v>
      </c>
      <c r="T333" s="10"/>
      <c r="U333" s="10"/>
      <c r="V333" s="10"/>
      <c r="W333" s="10"/>
      <c r="X333" s="10"/>
      <c r="Z333" s="1"/>
      <c r="AB333" s="1"/>
      <c r="AF333" s="1"/>
      <c r="AJ333" s="1"/>
      <c r="AL333" s="1"/>
    </row>
    <row r="334" spans="1:38" ht="13.8" x14ac:dyDescent="0.25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1"/>
      <c r="M334" s="11"/>
      <c r="N334" s="12"/>
      <c r="O334" s="12"/>
      <c r="P334" s="10"/>
      <c r="Q334" s="10"/>
      <c r="R334" s="10"/>
      <c r="S334" s="13">
        <f>SUM(Table32[[#This Row],[Female ( age less than 17)]:[Male ( More than 18)2]])</f>
        <v>0</v>
      </c>
      <c r="T334" s="10"/>
      <c r="U334" s="10"/>
      <c r="V334" s="10"/>
      <c r="W334" s="10"/>
      <c r="X334" s="10"/>
      <c r="Z334" s="1"/>
      <c r="AB334" s="1"/>
      <c r="AF334" s="1"/>
      <c r="AJ334" s="1"/>
      <c r="AL334" s="1"/>
    </row>
    <row r="335" spans="1:38" ht="13.8" x14ac:dyDescent="0.25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1"/>
      <c r="M335" s="11"/>
      <c r="N335" s="12"/>
      <c r="O335" s="12"/>
      <c r="P335" s="10"/>
      <c r="Q335" s="10"/>
      <c r="R335" s="10"/>
      <c r="S335" s="13">
        <f>SUM(Table32[[#This Row],[Female ( age less than 17)]:[Male ( More than 18)2]])</f>
        <v>0</v>
      </c>
      <c r="T335" s="10"/>
      <c r="U335" s="10"/>
      <c r="V335" s="10"/>
      <c r="W335" s="10"/>
      <c r="X335" s="10"/>
      <c r="Z335" s="1"/>
      <c r="AB335" s="1"/>
      <c r="AF335" s="1"/>
      <c r="AJ335" s="1"/>
      <c r="AL335" s="1"/>
    </row>
    <row r="336" spans="1:38" ht="13.8" x14ac:dyDescent="0.25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1"/>
      <c r="M336" s="11"/>
      <c r="N336" s="12"/>
      <c r="O336" s="12"/>
      <c r="P336" s="10"/>
      <c r="Q336" s="10"/>
      <c r="R336" s="10"/>
      <c r="S336" s="13">
        <f>SUM(Table32[[#This Row],[Female ( age less than 17)]:[Male ( More than 18)2]])</f>
        <v>0</v>
      </c>
      <c r="T336" s="10"/>
      <c r="U336" s="10"/>
      <c r="V336" s="10"/>
      <c r="W336" s="10"/>
      <c r="X336" s="10"/>
      <c r="Z336" s="1"/>
      <c r="AB336" s="1"/>
      <c r="AF336" s="1"/>
      <c r="AJ336" s="1"/>
      <c r="AL336" s="1"/>
    </row>
    <row r="337" spans="1:38" ht="13.8" x14ac:dyDescent="0.25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1"/>
      <c r="M337" s="11"/>
      <c r="N337" s="12"/>
      <c r="O337" s="12"/>
      <c r="P337" s="10"/>
      <c r="Q337" s="10"/>
      <c r="R337" s="10"/>
      <c r="S337" s="13">
        <f>SUM(Table32[[#This Row],[Female ( age less than 17)]:[Male ( More than 18)2]])</f>
        <v>0</v>
      </c>
      <c r="T337" s="10"/>
      <c r="U337" s="10"/>
      <c r="V337" s="10"/>
      <c r="W337" s="10"/>
      <c r="X337" s="10"/>
      <c r="Z337" s="1"/>
      <c r="AB337" s="1"/>
      <c r="AF337" s="1"/>
      <c r="AJ337" s="1"/>
      <c r="AL337" s="1"/>
    </row>
    <row r="338" spans="1:38" ht="13.8" x14ac:dyDescent="0.25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1"/>
      <c r="M338" s="11"/>
      <c r="N338" s="12"/>
      <c r="O338" s="12"/>
      <c r="P338" s="10"/>
      <c r="Q338" s="10"/>
      <c r="R338" s="10"/>
      <c r="S338" s="13">
        <f>SUM(Table32[[#This Row],[Female ( age less than 17)]:[Male ( More than 18)2]])</f>
        <v>0</v>
      </c>
      <c r="T338" s="10"/>
      <c r="U338" s="10"/>
      <c r="V338" s="10"/>
      <c r="W338" s="10"/>
      <c r="X338" s="10"/>
      <c r="Z338" s="1"/>
      <c r="AB338" s="1"/>
      <c r="AF338" s="1"/>
      <c r="AJ338" s="1"/>
      <c r="AL338" s="1"/>
    </row>
    <row r="339" spans="1:38" ht="13.8" x14ac:dyDescent="0.25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1"/>
      <c r="M339" s="11"/>
      <c r="N339" s="12"/>
      <c r="O339" s="12"/>
      <c r="P339" s="10"/>
      <c r="Q339" s="10"/>
      <c r="R339" s="10"/>
      <c r="S339" s="13">
        <f>SUM(Table32[[#This Row],[Female ( age less than 17)]:[Male ( More than 18)2]])</f>
        <v>0</v>
      </c>
      <c r="T339" s="10"/>
      <c r="U339" s="10"/>
      <c r="V339" s="10"/>
      <c r="W339" s="10"/>
      <c r="X339" s="10"/>
      <c r="Z339" s="1"/>
      <c r="AB339" s="1"/>
      <c r="AF339" s="1"/>
      <c r="AJ339" s="1"/>
      <c r="AL339" s="1"/>
    </row>
    <row r="340" spans="1:38" ht="13.8" x14ac:dyDescent="0.25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1"/>
      <c r="M340" s="11"/>
      <c r="N340" s="12"/>
      <c r="O340" s="12"/>
      <c r="P340" s="10"/>
      <c r="Q340" s="10"/>
      <c r="R340" s="10"/>
      <c r="S340" s="13">
        <f>SUM(Table32[[#This Row],[Female ( age less than 17)]:[Male ( More than 18)2]])</f>
        <v>0</v>
      </c>
      <c r="T340" s="10"/>
      <c r="U340" s="10"/>
      <c r="V340" s="10"/>
      <c r="W340" s="10"/>
      <c r="X340" s="10"/>
      <c r="Z340" s="1"/>
      <c r="AB340" s="1"/>
      <c r="AF340" s="1"/>
      <c r="AJ340" s="1"/>
      <c r="AL340" s="1"/>
    </row>
    <row r="341" spans="1:38" ht="13.8" x14ac:dyDescent="0.25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1"/>
      <c r="M341" s="11"/>
      <c r="N341" s="12"/>
      <c r="O341" s="12"/>
      <c r="P341" s="10"/>
      <c r="Q341" s="10"/>
      <c r="R341" s="10"/>
      <c r="S341" s="13">
        <f>SUM(Table32[[#This Row],[Female ( age less than 17)]:[Male ( More than 18)2]])</f>
        <v>0</v>
      </c>
      <c r="T341" s="10"/>
      <c r="U341" s="10"/>
      <c r="V341" s="10"/>
      <c r="W341" s="10"/>
      <c r="X341" s="10"/>
      <c r="Z341" s="1"/>
      <c r="AB341" s="1"/>
      <c r="AF341" s="1"/>
      <c r="AJ341" s="1"/>
      <c r="AL341" s="1"/>
    </row>
    <row r="342" spans="1:38" ht="13.8" x14ac:dyDescent="0.25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1"/>
      <c r="M342" s="11"/>
      <c r="N342" s="12"/>
      <c r="O342" s="12"/>
      <c r="P342" s="10"/>
      <c r="Q342" s="10"/>
      <c r="R342" s="10"/>
      <c r="S342" s="13">
        <f>SUM(Table32[[#This Row],[Female ( age less than 17)]:[Male ( More than 18)2]])</f>
        <v>0</v>
      </c>
      <c r="T342" s="10"/>
      <c r="U342" s="10"/>
      <c r="V342" s="10"/>
      <c r="W342" s="10"/>
      <c r="X342" s="10"/>
      <c r="Z342" s="1"/>
      <c r="AB342" s="1"/>
      <c r="AF342" s="1"/>
      <c r="AJ342" s="1"/>
      <c r="AL342" s="1"/>
    </row>
    <row r="343" spans="1:38" ht="13.8" x14ac:dyDescent="0.25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1"/>
      <c r="M343" s="11"/>
      <c r="N343" s="12"/>
      <c r="O343" s="12"/>
      <c r="P343" s="10"/>
      <c r="Q343" s="10"/>
      <c r="R343" s="10"/>
      <c r="S343" s="13">
        <f>SUM(Table32[[#This Row],[Female ( age less than 17)]:[Male ( More than 18)2]])</f>
        <v>0</v>
      </c>
      <c r="T343" s="10"/>
      <c r="U343" s="10"/>
      <c r="V343" s="10"/>
      <c r="W343" s="10"/>
      <c r="X343" s="10"/>
      <c r="Z343" s="1"/>
      <c r="AB343" s="1"/>
      <c r="AF343" s="1"/>
      <c r="AJ343" s="1"/>
      <c r="AL343" s="1"/>
    </row>
    <row r="344" spans="1:38" ht="13.8" x14ac:dyDescent="0.25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1"/>
      <c r="M344" s="11"/>
      <c r="N344" s="12"/>
      <c r="O344" s="12"/>
      <c r="P344" s="10"/>
      <c r="Q344" s="10"/>
      <c r="R344" s="10"/>
      <c r="S344" s="13">
        <f>SUM(Table32[[#This Row],[Female ( age less than 17)]:[Male ( More than 18)2]])</f>
        <v>0</v>
      </c>
      <c r="T344" s="10"/>
      <c r="U344" s="10"/>
      <c r="V344" s="10"/>
      <c r="W344" s="10"/>
      <c r="X344" s="10"/>
      <c r="Z344" s="1"/>
      <c r="AB344" s="1"/>
      <c r="AF344" s="1"/>
      <c r="AJ344" s="1"/>
      <c r="AL344" s="1"/>
    </row>
    <row r="345" spans="1:38" ht="13.8" x14ac:dyDescent="0.25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1"/>
      <c r="M345" s="11"/>
      <c r="N345" s="12"/>
      <c r="O345" s="12"/>
      <c r="P345" s="10"/>
      <c r="Q345" s="10"/>
      <c r="R345" s="10"/>
      <c r="S345" s="13">
        <f>SUM(Table32[[#This Row],[Female ( age less than 17)]:[Male ( More than 18)2]])</f>
        <v>0</v>
      </c>
      <c r="T345" s="10"/>
      <c r="U345" s="10"/>
      <c r="V345" s="10"/>
      <c r="W345" s="10"/>
      <c r="X345" s="10"/>
      <c r="Z345" s="1"/>
      <c r="AB345" s="1"/>
      <c r="AF345" s="1"/>
      <c r="AJ345" s="1"/>
      <c r="AL345" s="1"/>
    </row>
    <row r="346" spans="1:38" ht="13.8" x14ac:dyDescent="0.25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1"/>
      <c r="M346" s="11"/>
      <c r="N346" s="12"/>
      <c r="O346" s="12"/>
      <c r="P346" s="10"/>
      <c r="Q346" s="10"/>
      <c r="R346" s="10"/>
      <c r="S346" s="13">
        <f>SUM(Table32[[#This Row],[Female ( age less than 17)]:[Male ( More than 18)2]])</f>
        <v>0</v>
      </c>
      <c r="T346" s="10"/>
      <c r="U346" s="10"/>
      <c r="V346" s="10"/>
      <c r="W346" s="10"/>
      <c r="X346" s="10"/>
      <c r="Z346" s="1"/>
      <c r="AB346" s="1"/>
      <c r="AF346" s="1"/>
      <c r="AJ346" s="1"/>
      <c r="AL346" s="1"/>
    </row>
    <row r="347" spans="1:38" ht="13.8" x14ac:dyDescent="0.25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1"/>
      <c r="M347" s="11"/>
      <c r="N347" s="12"/>
      <c r="O347" s="12"/>
      <c r="P347" s="10"/>
      <c r="Q347" s="10"/>
      <c r="R347" s="10"/>
      <c r="S347" s="13">
        <f>SUM(Table32[[#This Row],[Female ( age less than 17)]:[Male ( More than 18)2]])</f>
        <v>0</v>
      </c>
      <c r="T347" s="10"/>
      <c r="U347" s="10"/>
      <c r="V347" s="10"/>
      <c r="W347" s="10"/>
      <c r="X347" s="10"/>
      <c r="Z347" s="1"/>
      <c r="AB347" s="1"/>
      <c r="AF347" s="1"/>
      <c r="AJ347" s="1"/>
      <c r="AL347" s="1"/>
    </row>
    <row r="348" spans="1:38" ht="13.8" x14ac:dyDescent="0.25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1"/>
      <c r="M348" s="11"/>
      <c r="N348" s="12"/>
      <c r="O348" s="12"/>
      <c r="P348" s="10"/>
      <c r="Q348" s="10"/>
      <c r="R348" s="10"/>
      <c r="S348" s="13">
        <f>SUM(Table32[[#This Row],[Female ( age less than 17)]:[Male ( More than 18)2]])</f>
        <v>0</v>
      </c>
      <c r="T348" s="10"/>
      <c r="U348" s="10"/>
      <c r="V348" s="10"/>
      <c r="W348" s="10"/>
      <c r="X348" s="10"/>
      <c r="Z348" s="1"/>
      <c r="AB348" s="1"/>
      <c r="AF348" s="1"/>
      <c r="AJ348" s="1"/>
      <c r="AL348" s="1"/>
    </row>
    <row r="349" spans="1:38" ht="13.8" x14ac:dyDescent="0.25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1"/>
      <c r="M349" s="11"/>
      <c r="N349" s="12"/>
      <c r="O349" s="12"/>
      <c r="P349" s="10"/>
      <c r="Q349" s="10"/>
      <c r="R349" s="10"/>
      <c r="S349" s="13">
        <f>SUM(Table32[[#This Row],[Female ( age less than 17)]:[Male ( More than 18)2]])</f>
        <v>0</v>
      </c>
      <c r="T349" s="10"/>
      <c r="U349" s="10"/>
      <c r="V349" s="10"/>
      <c r="W349" s="10"/>
      <c r="X349" s="10"/>
      <c r="Z349" s="1"/>
      <c r="AB349" s="1"/>
      <c r="AF349" s="1"/>
      <c r="AJ349" s="1"/>
      <c r="AL349" s="1"/>
    </row>
    <row r="350" spans="1:38" ht="13.8" x14ac:dyDescent="0.25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1"/>
      <c r="M350" s="11"/>
      <c r="N350" s="12"/>
      <c r="O350" s="12"/>
      <c r="P350" s="10"/>
      <c r="Q350" s="10"/>
      <c r="R350" s="10"/>
      <c r="S350" s="13">
        <f>SUM(Table32[[#This Row],[Female ( age less than 17)]:[Male ( More than 18)2]])</f>
        <v>0</v>
      </c>
      <c r="T350" s="10"/>
      <c r="U350" s="10"/>
      <c r="V350" s="10"/>
      <c r="W350" s="10"/>
      <c r="X350" s="10"/>
      <c r="Z350" s="1"/>
      <c r="AB350" s="1"/>
      <c r="AF350" s="1"/>
      <c r="AJ350" s="1"/>
      <c r="AL350" s="1"/>
    </row>
    <row r="351" spans="1:38" ht="13.8" x14ac:dyDescent="0.25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1"/>
      <c r="M351" s="11"/>
      <c r="N351" s="12"/>
      <c r="O351" s="12"/>
      <c r="P351" s="10"/>
      <c r="Q351" s="10"/>
      <c r="R351" s="10"/>
      <c r="S351" s="13">
        <f>SUM(Table32[[#This Row],[Female ( age less than 17)]:[Male ( More than 18)2]])</f>
        <v>0</v>
      </c>
      <c r="T351" s="10"/>
      <c r="U351" s="10"/>
      <c r="V351" s="10"/>
      <c r="W351" s="10"/>
      <c r="X351" s="10"/>
      <c r="Z351" s="1"/>
      <c r="AB351" s="1"/>
      <c r="AF351" s="1"/>
      <c r="AJ351" s="1"/>
      <c r="AL351" s="1"/>
    </row>
    <row r="352" spans="1:38" ht="13.8" x14ac:dyDescent="0.25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1"/>
      <c r="M352" s="11"/>
      <c r="N352" s="12"/>
      <c r="O352" s="12"/>
      <c r="P352" s="10"/>
      <c r="Q352" s="10"/>
      <c r="R352" s="10"/>
      <c r="S352" s="13">
        <f>SUM(Table32[[#This Row],[Female ( age less than 17)]:[Male ( More than 18)2]])</f>
        <v>0</v>
      </c>
      <c r="T352" s="10"/>
      <c r="U352" s="10"/>
      <c r="V352" s="10"/>
      <c r="W352" s="10"/>
      <c r="X352" s="10"/>
      <c r="Z352" s="1"/>
      <c r="AB352" s="1"/>
      <c r="AF352" s="1"/>
      <c r="AJ352" s="1"/>
      <c r="AL352" s="1"/>
    </row>
    <row r="353" spans="1:38" ht="13.8" x14ac:dyDescent="0.25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1"/>
      <c r="M353" s="11"/>
      <c r="N353" s="12"/>
      <c r="O353" s="12"/>
      <c r="P353" s="10"/>
      <c r="Q353" s="10"/>
      <c r="R353" s="10"/>
      <c r="S353" s="13">
        <f>SUM(Table32[[#This Row],[Female ( age less than 17)]:[Male ( More than 18)2]])</f>
        <v>0</v>
      </c>
      <c r="T353" s="10"/>
      <c r="U353" s="10"/>
      <c r="V353" s="10"/>
      <c r="W353" s="10"/>
      <c r="X353" s="10"/>
      <c r="Z353" s="1"/>
      <c r="AB353" s="1"/>
      <c r="AF353" s="1"/>
      <c r="AJ353" s="1"/>
      <c r="AL353" s="1"/>
    </row>
    <row r="354" spans="1:38" ht="13.8" x14ac:dyDescent="0.25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1"/>
      <c r="M354" s="11"/>
      <c r="N354" s="12"/>
      <c r="O354" s="12"/>
      <c r="P354" s="10"/>
      <c r="Q354" s="10"/>
      <c r="R354" s="10"/>
      <c r="S354" s="13">
        <f>SUM(Table32[[#This Row],[Female ( age less than 17)]:[Male ( More than 18)2]])</f>
        <v>0</v>
      </c>
      <c r="T354" s="10"/>
      <c r="U354" s="10"/>
      <c r="V354" s="10"/>
      <c r="W354" s="10"/>
      <c r="X354" s="10"/>
      <c r="Z354" s="1"/>
      <c r="AB354" s="1"/>
      <c r="AF354" s="1"/>
      <c r="AJ354" s="1"/>
      <c r="AL354" s="1"/>
    </row>
    <row r="355" spans="1:38" ht="13.8" x14ac:dyDescent="0.25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1"/>
      <c r="M355" s="11"/>
      <c r="N355" s="12"/>
      <c r="O355" s="12"/>
      <c r="P355" s="10"/>
      <c r="Q355" s="10"/>
      <c r="R355" s="10"/>
      <c r="S355" s="13">
        <f>SUM(Table32[[#This Row],[Female ( age less than 17)]:[Male ( More than 18)2]])</f>
        <v>0</v>
      </c>
      <c r="T355" s="10"/>
      <c r="U355" s="10"/>
      <c r="V355" s="10"/>
      <c r="W355" s="10"/>
      <c r="X355" s="10"/>
      <c r="Z355" s="1"/>
      <c r="AB355" s="1"/>
      <c r="AF355" s="1"/>
      <c r="AJ355" s="1"/>
      <c r="AL355" s="1"/>
    </row>
    <row r="356" spans="1:38" ht="13.8" x14ac:dyDescent="0.25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1"/>
      <c r="M356" s="11"/>
      <c r="N356" s="12"/>
      <c r="O356" s="12"/>
      <c r="P356" s="10"/>
      <c r="Q356" s="10"/>
      <c r="R356" s="10"/>
      <c r="S356" s="13">
        <f>SUM(Table32[[#This Row],[Female ( age less than 17)]:[Male ( More than 18)2]])</f>
        <v>0</v>
      </c>
      <c r="T356" s="10"/>
      <c r="U356" s="10"/>
      <c r="V356" s="10"/>
      <c r="W356" s="10"/>
      <c r="X356" s="10"/>
      <c r="Z356" s="1"/>
      <c r="AB356" s="1"/>
      <c r="AF356" s="1"/>
      <c r="AJ356" s="1"/>
      <c r="AL356" s="1"/>
    </row>
    <row r="357" spans="1:38" ht="13.8" x14ac:dyDescent="0.25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1"/>
      <c r="M357" s="11"/>
      <c r="N357" s="12"/>
      <c r="O357" s="12"/>
      <c r="P357" s="10"/>
      <c r="Q357" s="10"/>
      <c r="R357" s="10"/>
      <c r="S357" s="13">
        <f>SUM(Table32[[#This Row],[Female ( age less than 17)]:[Male ( More than 18)2]])</f>
        <v>0</v>
      </c>
      <c r="T357" s="10"/>
      <c r="U357" s="10"/>
      <c r="V357" s="10"/>
      <c r="W357" s="10"/>
      <c r="X357" s="10"/>
      <c r="Z357" s="1"/>
      <c r="AB357" s="1"/>
      <c r="AF357" s="1"/>
      <c r="AJ357" s="1"/>
      <c r="AL357" s="1"/>
    </row>
    <row r="358" spans="1:38" ht="13.8" x14ac:dyDescent="0.25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1"/>
      <c r="M358" s="11"/>
      <c r="N358" s="12"/>
      <c r="O358" s="12"/>
      <c r="P358" s="10"/>
      <c r="Q358" s="10"/>
      <c r="R358" s="10"/>
      <c r="S358" s="13">
        <f>SUM(Table32[[#This Row],[Female ( age less than 17)]:[Male ( More than 18)2]])</f>
        <v>0</v>
      </c>
      <c r="T358" s="10"/>
      <c r="U358" s="10"/>
      <c r="V358" s="10"/>
      <c r="W358" s="10"/>
      <c r="X358" s="10"/>
      <c r="Z358" s="1"/>
      <c r="AB358" s="1"/>
      <c r="AF358" s="1"/>
      <c r="AJ358" s="1"/>
      <c r="AL358" s="1"/>
    </row>
    <row r="359" spans="1:38" ht="13.8" x14ac:dyDescent="0.25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1"/>
      <c r="M359" s="11"/>
      <c r="N359" s="12"/>
      <c r="O359" s="12"/>
      <c r="P359" s="10"/>
      <c r="Q359" s="10"/>
      <c r="R359" s="10"/>
      <c r="S359" s="13">
        <f>SUM(Table32[[#This Row],[Female ( age less than 17)]:[Male ( More than 18)2]])</f>
        <v>0</v>
      </c>
      <c r="T359" s="10"/>
      <c r="U359" s="10"/>
      <c r="V359" s="10"/>
      <c r="W359" s="10"/>
      <c r="X359" s="10"/>
      <c r="Z359" s="1"/>
      <c r="AB359" s="1"/>
      <c r="AF359" s="1"/>
      <c r="AJ359" s="1"/>
      <c r="AL359" s="1"/>
    </row>
    <row r="360" spans="1:38" ht="13.8" x14ac:dyDescent="0.25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1"/>
      <c r="M360" s="11"/>
      <c r="N360" s="12"/>
      <c r="O360" s="12"/>
      <c r="P360" s="10"/>
      <c r="Q360" s="10"/>
      <c r="R360" s="10"/>
      <c r="S360" s="13">
        <f>SUM(Table32[[#This Row],[Female ( age less than 17)]:[Male ( More than 18)2]])</f>
        <v>0</v>
      </c>
      <c r="T360" s="10"/>
      <c r="U360" s="10"/>
      <c r="V360" s="10"/>
      <c r="W360" s="10"/>
      <c r="X360" s="10"/>
      <c r="Z360" s="1"/>
      <c r="AB360" s="1"/>
      <c r="AF360" s="1"/>
      <c r="AJ360" s="1"/>
      <c r="AL360" s="1"/>
    </row>
    <row r="361" spans="1:38" ht="13.8" x14ac:dyDescent="0.25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1"/>
      <c r="M361" s="11"/>
      <c r="N361" s="12"/>
      <c r="O361" s="12"/>
      <c r="P361" s="10"/>
      <c r="Q361" s="10"/>
      <c r="R361" s="10"/>
      <c r="S361" s="13">
        <f>SUM(Table32[[#This Row],[Female ( age less than 17)]:[Male ( More than 18)2]])</f>
        <v>0</v>
      </c>
      <c r="T361" s="10"/>
      <c r="U361" s="10"/>
      <c r="V361" s="10"/>
      <c r="W361" s="10"/>
      <c r="X361" s="10"/>
      <c r="Z361" s="1"/>
      <c r="AB361" s="1"/>
      <c r="AF361" s="1"/>
      <c r="AJ361" s="1"/>
      <c r="AL361" s="1"/>
    </row>
    <row r="362" spans="1:38" ht="13.8" x14ac:dyDescent="0.25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1"/>
      <c r="M362" s="11"/>
      <c r="N362" s="12"/>
      <c r="O362" s="12"/>
      <c r="P362" s="10"/>
      <c r="Q362" s="10"/>
      <c r="R362" s="10"/>
      <c r="S362" s="13">
        <f>SUM(Table32[[#This Row],[Female ( age less than 17)]:[Male ( More than 18)2]])</f>
        <v>0</v>
      </c>
      <c r="T362" s="10"/>
      <c r="U362" s="10"/>
      <c r="V362" s="10"/>
      <c r="W362" s="10"/>
      <c r="X362" s="10"/>
      <c r="Z362" s="1"/>
      <c r="AB362" s="1"/>
      <c r="AF362" s="1"/>
      <c r="AJ362" s="1"/>
      <c r="AL362" s="1"/>
    </row>
    <row r="363" spans="1:38" ht="13.8" x14ac:dyDescent="0.25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1"/>
      <c r="M363" s="11"/>
      <c r="N363" s="12"/>
      <c r="O363" s="12"/>
      <c r="P363" s="10"/>
      <c r="Q363" s="10"/>
      <c r="R363" s="10"/>
      <c r="S363" s="13">
        <f>SUM(Table32[[#This Row],[Female ( age less than 17)]:[Male ( More than 18)2]])</f>
        <v>0</v>
      </c>
      <c r="T363" s="10"/>
      <c r="U363" s="10"/>
      <c r="V363" s="10"/>
      <c r="W363" s="10"/>
      <c r="X363" s="10"/>
      <c r="Z363" s="1"/>
      <c r="AB363" s="1"/>
      <c r="AF363" s="1"/>
      <c r="AJ363" s="1"/>
      <c r="AL363" s="1"/>
    </row>
    <row r="364" spans="1:38" ht="13.8" x14ac:dyDescent="0.25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1"/>
      <c r="M364" s="11"/>
      <c r="N364" s="12"/>
      <c r="O364" s="12"/>
      <c r="P364" s="10"/>
      <c r="Q364" s="10"/>
      <c r="R364" s="10"/>
      <c r="S364" s="13">
        <f>SUM(Table32[[#This Row],[Female ( age less than 17)]:[Male ( More than 18)2]])</f>
        <v>0</v>
      </c>
      <c r="T364" s="10"/>
      <c r="U364" s="10"/>
      <c r="V364" s="10"/>
      <c r="W364" s="10"/>
      <c r="X364" s="10"/>
      <c r="Z364" s="1"/>
      <c r="AB364" s="1"/>
      <c r="AF364" s="1"/>
      <c r="AJ364" s="1"/>
      <c r="AL364" s="1"/>
    </row>
    <row r="365" spans="1:38" ht="13.8" x14ac:dyDescent="0.25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1"/>
      <c r="M365" s="11"/>
      <c r="N365" s="12"/>
      <c r="O365" s="12"/>
      <c r="P365" s="10"/>
      <c r="Q365" s="10"/>
      <c r="R365" s="10"/>
      <c r="S365" s="13">
        <f>SUM(Table32[[#This Row],[Female ( age less than 17)]:[Male ( More than 18)2]])</f>
        <v>0</v>
      </c>
      <c r="T365" s="10"/>
      <c r="U365" s="10"/>
      <c r="V365" s="10"/>
      <c r="W365" s="10"/>
      <c r="X365" s="10"/>
      <c r="Z365" s="1"/>
      <c r="AB365" s="1"/>
      <c r="AF365" s="1"/>
      <c r="AJ365" s="1"/>
      <c r="AL365" s="1"/>
    </row>
    <row r="366" spans="1:38" ht="13.8" x14ac:dyDescent="0.25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1"/>
      <c r="M366" s="11"/>
      <c r="N366" s="12"/>
      <c r="O366" s="12"/>
      <c r="P366" s="10"/>
      <c r="Q366" s="10"/>
      <c r="R366" s="10"/>
      <c r="S366" s="13">
        <f>SUM(Table32[[#This Row],[Female ( age less than 17)]:[Male ( More than 18)2]])</f>
        <v>0</v>
      </c>
      <c r="T366" s="10"/>
      <c r="U366" s="10"/>
      <c r="V366" s="10"/>
      <c r="W366" s="10"/>
      <c r="X366" s="10"/>
      <c r="Z366" s="1"/>
      <c r="AB366" s="1"/>
      <c r="AF366" s="1"/>
      <c r="AJ366" s="1"/>
      <c r="AL366" s="1"/>
    </row>
    <row r="367" spans="1:38" ht="13.8" x14ac:dyDescent="0.25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1"/>
      <c r="M367" s="11"/>
      <c r="N367" s="12"/>
      <c r="O367" s="12"/>
      <c r="P367" s="10"/>
      <c r="Q367" s="10"/>
      <c r="R367" s="10"/>
      <c r="S367" s="13">
        <f>SUM(Table32[[#This Row],[Female ( age less than 17)]:[Male ( More than 18)2]])</f>
        <v>0</v>
      </c>
      <c r="T367" s="10"/>
      <c r="U367" s="10"/>
      <c r="V367" s="10"/>
      <c r="W367" s="10"/>
      <c r="X367" s="10"/>
      <c r="Z367" s="1"/>
      <c r="AB367" s="1"/>
      <c r="AF367" s="1"/>
      <c r="AJ367" s="1"/>
      <c r="AL367" s="1"/>
    </row>
    <row r="368" spans="1:38" ht="13.8" x14ac:dyDescent="0.25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1"/>
      <c r="M368" s="11"/>
      <c r="N368" s="12"/>
      <c r="O368" s="12"/>
      <c r="P368" s="10"/>
      <c r="Q368" s="10"/>
      <c r="R368" s="10"/>
      <c r="S368" s="13">
        <f>SUM(Table32[[#This Row],[Female ( age less than 17)]:[Male ( More than 18)2]])</f>
        <v>0</v>
      </c>
      <c r="T368" s="10"/>
      <c r="U368" s="10"/>
      <c r="V368" s="10"/>
      <c r="W368" s="10"/>
      <c r="X368" s="10"/>
      <c r="Z368" s="1"/>
      <c r="AB368" s="1"/>
      <c r="AF368" s="1"/>
      <c r="AJ368" s="1"/>
      <c r="AL368" s="1"/>
    </row>
    <row r="369" spans="1:38" ht="13.8" x14ac:dyDescent="0.25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1"/>
      <c r="M369" s="11"/>
      <c r="N369" s="12"/>
      <c r="O369" s="12"/>
      <c r="P369" s="10"/>
      <c r="Q369" s="10"/>
      <c r="R369" s="10"/>
      <c r="S369" s="13">
        <f>SUM(Table32[[#This Row],[Female ( age less than 17)]:[Male ( More than 18)2]])</f>
        <v>0</v>
      </c>
      <c r="T369" s="10"/>
      <c r="U369" s="10"/>
      <c r="V369" s="10"/>
      <c r="W369" s="10"/>
      <c r="X369" s="10"/>
      <c r="Z369" s="1"/>
      <c r="AB369" s="1"/>
      <c r="AF369" s="1"/>
      <c r="AJ369" s="1"/>
      <c r="AL369" s="1"/>
    </row>
    <row r="370" spans="1:38" ht="13.8" x14ac:dyDescent="0.25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1"/>
      <c r="M370" s="11"/>
      <c r="N370" s="12"/>
      <c r="O370" s="12"/>
      <c r="P370" s="10"/>
      <c r="Q370" s="10"/>
      <c r="R370" s="10"/>
      <c r="S370" s="13">
        <f>SUM(Table32[[#This Row],[Female ( age less than 17)]:[Male ( More than 18)2]])</f>
        <v>0</v>
      </c>
      <c r="T370" s="10"/>
      <c r="U370" s="10"/>
      <c r="V370" s="10"/>
      <c r="W370" s="10"/>
      <c r="X370" s="10"/>
      <c r="Z370" s="1"/>
      <c r="AB370" s="1"/>
      <c r="AF370" s="1"/>
      <c r="AJ370" s="1"/>
      <c r="AL370" s="1"/>
    </row>
    <row r="371" spans="1:38" ht="13.8" x14ac:dyDescent="0.25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1"/>
      <c r="M371" s="11"/>
      <c r="N371" s="12"/>
      <c r="O371" s="12"/>
      <c r="P371" s="10"/>
      <c r="Q371" s="10"/>
      <c r="R371" s="10"/>
      <c r="S371" s="13">
        <f>SUM(Table32[[#This Row],[Female ( age less than 17)]:[Male ( More than 18)2]])</f>
        <v>0</v>
      </c>
      <c r="T371" s="10"/>
      <c r="U371" s="10"/>
      <c r="V371" s="10"/>
      <c r="W371" s="10"/>
      <c r="X371" s="10"/>
      <c r="Z371" s="1"/>
      <c r="AB371" s="1"/>
      <c r="AF371" s="1"/>
      <c r="AJ371" s="1"/>
      <c r="AL371" s="1"/>
    </row>
    <row r="372" spans="1:38" ht="13.8" x14ac:dyDescent="0.25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1"/>
      <c r="M372" s="11"/>
      <c r="N372" s="12"/>
      <c r="O372" s="12"/>
      <c r="P372" s="10"/>
      <c r="Q372" s="10"/>
      <c r="R372" s="10"/>
      <c r="S372" s="13">
        <f>SUM(Table32[[#This Row],[Female ( age less than 17)]:[Male ( More than 18)2]])</f>
        <v>0</v>
      </c>
      <c r="T372" s="10"/>
      <c r="U372" s="10"/>
      <c r="V372" s="10"/>
      <c r="W372" s="10"/>
      <c r="X372" s="10"/>
      <c r="Z372" s="1"/>
      <c r="AB372" s="1"/>
      <c r="AF372" s="1"/>
      <c r="AJ372" s="1"/>
      <c r="AL372" s="1"/>
    </row>
    <row r="373" spans="1:38" ht="13.8" x14ac:dyDescent="0.25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1"/>
      <c r="M373" s="11"/>
      <c r="N373" s="12"/>
      <c r="O373" s="12"/>
      <c r="P373" s="10"/>
      <c r="Q373" s="10"/>
      <c r="R373" s="10"/>
      <c r="S373" s="13">
        <f>SUM(Table32[[#This Row],[Female ( age less than 17)]:[Male ( More than 18)2]])</f>
        <v>0</v>
      </c>
      <c r="T373" s="10"/>
      <c r="U373" s="10"/>
      <c r="V373" s="10"/>
      <c r="W373" s="10"/>
      <c r="X373" s="10"/>
      <c r="Z373" s="1"/>
      <c r="AB373" s="1"/>
      <c r="AF373" s="1"/>
      <c r="AJ373" s="1"/>
      <c r="AL373" s="1"/>
    </row>
    <row r="374" spans="1:38" ht="13.8" x14ac:dyDescent="0.25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1"/>
      <c r="M374" s="11"/>
      <c r="N374" s="12"/>
      <c r="O374" s="12"/>
      <c r="P374" s="10"/>
      <c r="Q374" s="10"/>
      <c r="R374" s="10"/>
      <c r="S374" s="13">
        <f>SUM(Table32[[#This Row],[Female ( age less than 17)]:[Male ( More than 18)2]])</f>
        <v>0</v>
      </c>
      <c r="T374" s="10"/>
      <c r="U374" s="10"/>
      <c r="V374" s="10"/>
      <c r="W374" s="10"/>
      <c r="X374" s="10"/>
      <c r="Z374" s="1"/>
      <c r="AB374" s="1"/>
      <c r="AF374" s="1"/>
      <c r="AJ374" s="1"/>
      <c r="AL374" s="1"/>
    </row>
    <row r="375" spans="1:38" ht="13.8" x14ac:dyDescent="0.25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1"/>
      <c r="M375" s="11"/>
      <c r="N375" s="12"/>
      <c r="O375" s="12"/>
      <c r="P375" s="10"/>
      <c r="Q375" s="10"/>
      <c r="R375" s="10"/>
      <c r="S375" s="13">
        <f>SUM(Table32[[#This Row],[Female ( age less than 17)]:[Male ( More than 18)2]])</f>
        <v>0</v>
      </c>
      <c r="T375" s="10"/>
      <c r="U375" s="10"/>
      <c r="V375" s="10"/>
      <c r="W375" s="10"/>
      <c r="X375" s="10"/>
      <c r="Z375" s="1"/>
      <c r="AB375" s="1"/>
      <c r="AF375" s="1"/>
      <c r="AJ375" s="1"/>
      <c r="AL375" s="1"/>
    </row>
    <row r="376" spans="1:38" ht="13.8" x14ac:dyDescent="0.25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1"/>
      <c r="M376" s="11"/>
      <c r="N376" s="12"/>
      <c r="O376" s="12"/>
      <c r="P376" s="10"/>
      <c r="Q376" s="10"/>
      <c r="R376" s="10"/>
      <c r="S376" s="13">
        <f>SUM(Table32[[#This Row],[Female ( age less than 17)]:[Male ( More than 18)2]])</f>
        <v>0</v>
      </c>
      <c r="T376" s="10"/>
      <c r="U376" s="10"/>
      <c r="V376" s="10"/>
      <c r="W376" s="10"/>
      <c r="X376" s="10"/>
      <c r="Z376" s="1"/>
      <c r="AB376" s="1"/>
      <c r="AF376" s="1"/>
      <c r="AJ376" s="1"/>
      <c r="AL376" s="1"/>
    </row>
    <row r="377" spans="1:38" ht="13.8" x14ac:dyDescent="0.25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1"/>
      <c r="M377" s="11"/>
      <c r="N377" s="12"/>
      <c r="O377" s="12"/>
      <c r="P377" s="10"/>
      <c r="Q377" s="10"/>
      <c r="R377" s="10"/>
      <c r="S377" s="13">
        <f>SUM(Table32[[#This Row],[Female ( age less than 17)]:[Male ( More than 18)2]])</f>
        <v>0</v>
      </c>
      <c r="T377" s="10"/>
      <c r="U377" s="10"/>
      <c r="V377" s="10"/>
      <c r="W377" s="10"/>
      <c r="X377" s="10"/>
      <c r="Z377" s="1"/>
      <c r="AB377" s="1"/>
      <c r="AF377" s="1"/>
      <c r="AJ377" s="1"/>
      <c r="AL377" s="1"/>
    </row>
    <row r="378" spans="1:38" ht="13.8" x14ac:dyDescent="0.25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1"/>
      <c r="M378" s="11"/>
      <c r="N378" s="12"/>
      <c r="O378" s="12"/>
      <c r="P378" s="10"/>
      <c r="Q378" s="10"/>
      <c r="R378" s="10"/>
      <c r="S378" s="13">
        <f>SUM(Table32[[#This Row],[Female ( age less than 17)]:[Male ( More than 18)2]])</f>
        <v>0</v>
      </c>
      <c r="T378" s="10"/>
      <c r="U378" s="10"/>
      <c r="V378" s="10"/>
      <c r="W378" s="10"/>
      <c r="X378" s="10"/>
      <c r="Z378" s="1"/>
      <c r="AB378" s="1"/>
      <c r="AF378" s="1"/>
      <c r="AJ378" s="1"/>
      <c r="AL378" s="1"/>
    </row>
    <row r="379" spans="1:38" ht="13.8" x14ac:dyDescent="0.25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1"/>
      <c r="M379" s="11"/>
      <c r="N379" s="12"/>
      <c r="O379" s="12"/>
      <c r="P379" s="10"/>
      <c r="Q379" s="10"/>
      <c r="R379" s="10"/>
      <c r="S379" s="13">
        <f>SUM(Table32[[#This Row],[Female ( age less than 17)]:[Male ( More than 18)2]])</f>
        <v>0</v>
      </c>
      <c r="T379" s="10"/>
      <c r="U379" s="10"/>
      <c r="V379" s="10"/>
      <c r="W379" s="10"/>
      <c r="X379" s="10"/>
      <c r="Z379" s="1"/>
      <c r="AB379" s="1"/>
      <c r="AF379" s="1"/>
      <c r="AJ379" s="1"/>
      <c r="AL379" s="1"/>
    </row>
    <row r="380" spans="1:38" ht="13.8" x14ac:dyDescent="0.25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1"/>
      <c r="M380" s="11"/>
      <c r="N380" s="12"/>
      <c r="O380" s="12"/>
      <c r="P380" s="10"/>
      <c r="Q380" s="10"/>
      <c r="R380" s="10"/>
      <c r="S380" s="13">
        <f>SUM(Table32[[#This Row],[Female ( age less than 17)]:[Male ( More than 18)2]])</f>
        <v>0</v>
      </c>
      <c r="T380" s="10"/>
      <c r="U380" s="10"/>
      <c r="V380" s="10"/>
      <c r="W380" s="10"/>
      <c r="X380" s="10"/>
      <c r="Z380" s="1"/>
      <c r="AB380" s="1"/>
      <c r="AF380" s="1"/>
      <c r="AJ380" s="1"/>
      <c r="AL380" s="1"/>
    </row>
    <row r="381" spans="1:38" ht="13.8" x14ac:dyDescent="0.25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1"/>
      <c r="M381" s="11"/>
      <c r="N381" s="12"/>
      <c r="O381" s="12"/>
      <c r="P381" s="10"/>
      <c r="Q381" s="10"/>
      <c r="R381" s="10"/>
      <c r="S381" s="13">
        <f>SUM(Table32[[#This Row],[Female ( age less than 17)]:[Male ( More than 18)2]])</f>
        <v>0</v>
      </c>
      <c r="T381" s="10"/>
      <c r="U381" s="10"/>
      <c r="V381" s="10"/>
      <c r="W381" s="10"/>
      <c r="X381" s="10"/>
      <c r="Z381" s="1"/>
      <c r="AB381" s="1"/>
      <c r="AF381" s="1"/>
      <c r="AJ381" s="1"/>
      <c r="AL381" s="1"/>
    </row>
    <row r="382" spans="1:38" ht="13.8" x14ac:dyDescent="0.25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1"/>
      <c r="M382" s="11"/>
      <c r="N382" s="12"/>
      <c r="O382" s="12"/>
      <c r="P382" s="10"/>
      <c r="Q382" s="10"/>
      <c r="R382" s="10"/>
      <c r="S382" s="13">
        <f>SUM(Table32[[#This Row],[Female ( age less than 17)]:[Male ( More than 18)2]])</f>
        <v>0</v>
      </c>
      <c r="T382" s="10"/>
      <c r="U382" s="10"/>
      <c r="V382" s="10"/>
      <c r="W382" s="10"/>
      <c r="X382" s="10"/>
      <c r="Z382" s="1"/>
      <c r="AB382" s="1"/>
      <c r="AF382" s="1"/>
      <c r="AJ382" s="1"/>
      <c r="AL382" s="1"/>
    </row>
    <row r="383" spans="1:38" ht="13.8" x14ac:dyDescent="0.25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1"/>
      <c r="M383" s="11"/>
      <c r="N383" s="12"/>
      <c r="O383" s="12"/>
      <c r="P383" s="10"/>
      <c r="Q383" s="10"/>
      <c r="R383" s="10"/>
      <c r="S383" s="13">
        <f>SUM(Table32[[#This Row],[Female ( age less than 17)]:[Male ( More than 18)2]])</f>
        <v>0</v>
      </c>
      <c r="T383" s="10"/>
      <c r="U383" s="10"/>
      <c r="V383" s="10"/>
      <c r="W383" s="10"/>
      <c r="X383" s="10"/>
      <c r="Z383" s="1"/>
      <c r="AB383" s="1"/>
      <c r="AF383" s="1"/>
      <c r="AJ383" s="1"/>
      <c r="AL383" s="1"/>
    </row>
    <row r="384" spans="1:38" ht="13.8" x14ac:dyDescent="0.25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1"/>
      <c r="M384" s="11"/>
      <c r="N384" s="12"/>
      <c r="O384" s="12"/>
      <c r="P384" s="10"/>
      <c r="Q384" s="10"/>
      <c r="R384" s="10"/>
      <c r="S384" s="13">
        <f>SUM(Table32[[#This Row],[Female ( age less than 17)]:[Male ( More than 18)2]])</f>
        <v>0</v>
      </c>
      <c r="T384" s="10"/>
      <c r="U384" s="10"/>
      <c r="V384" s="10"/>
      <c r="W384" s="10"/>
      <c r="X384" s="10"/>
      <c r="Z384" s="1"/>
      <c r="AB384" s="1"/>
      <c r="AF384" s="1"/>
      <c r="AJ384" s="1"/>
      <c r="AL384" s="1"/>
    </row>
    <row r="385" spans="1:38" ht="13.8" x14ac:dyDescent="0.25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1"/>
      <c r="M385" s="11"/>
      <c r="N385" s="12"/>
      <c r="O385" s="12"/>
      <c r="P385" s="10"/>
      <c r="Q385" s="10"/>
      <c r="R385" s="10"/>
      <c r="S385" s="13">
        <f>SUM(Table32[[#This Row],[Female ( age less than 17)]:[Male ( More than 18)2]])</f>
        <v>0</v>
      </c>
      <c r="T385" s="10"/>
      <c r="U385" s="10"/>
      <c r="V385" s="10"/>
      <c r="W385" s="10"/>
      <c r="X385" s="10"/>
      <c r="Z385" s="1"/>
      <c r="AB385" s="1"/>
      <c r="AF385" s="1"/>
      <c r="AJ385" s="1"/>
      <c r="AL385" s="1"/>
    </row>
    <row r="386" spans="1:38" ht="13.8" x14ac:dyDescent="0.25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1"/>
      <c r="M386" s="11"/>
      <c r="N386" s="12"/>
      <c r="O386" s="12"/>
      <c r="P386" s="10"/>
      <c r="Q386" s="10"/>
      <c r="R386" s="10"/>
      <c r="S386" s="13">
        <f>SUM(Table32[[#This Row],[Female ( age less than 17)]:[Male ( More than 18)2]])</f>
        <v>0</v>
      </c>
      <c r="T386" s="10"/>
      <c r="U386" s="10"/>
      <c r="V386" s="10"/>
      <c r="W386" s="10"/>
      <c r="X386" s="10"/>
      <c r="Z386" s="1"/>
      <c r="AB386" s="1"/>
      <c r="AF386" s="1"/>
      <c r="AJ386" s="1"/>
      <c r="AL386" s="1"/>
    </row>
    <row r="387" spans="1:38" ht="13.8" x14ac:dyDescent="0.25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1"/>
      <c r="M387" s="11"/>
      <c r="N387" s="12"/>
      <c r="O387" s="12"/>
      <c r="P387" s="10"/>
      <c r="Q387" s="10"/>
      <c r="R387" s="10"/>
      <c r="S387" s="13">
        <f>SUM(Table32[[#This Row],[Female ( age less than 17)]:[Male ( More than 18)2]])</f>
        <v>0</v>
      </c>
      <c r="T387" s="10"/>
      <c r="U387" s="10"/>
      <c r="V387" s="10"/>
      <c r="W387" s="10"/>
      <c r="X387" s="10"/>
      <c r="Z387" s="1"/>
      <c r="AB387" s="1"/>
      <c r="AF387" s="1"/>
      <c r="AJ387" s="1"/>
      <c r="AL387" s="1"/>
    </row>
    <row r="388" spans="1:38" ht="13.8" x14ac:dyDescent="0.25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1"/>
      <c r="M388" s="11"/>
      <c r="N388" s="12"/>
      <c r="O388" s="12"/>
      <c r="P388" s="10"/>
      <c r="Q388" s="10"/>
      <c r="R388" s="10"/>
      <c r="S388" s="13">
        <f>SUM(Table32[[#This Row],[Female ( age less than 17)]:[Male ( More than 18)2]])</f>
        <v>0</v>
      </c>
      <c r="T388" s="10"/>
      <c r="U388" s="10"/>
      <c r="V388" s="10"/>
      <c r="W388" s="10"/>
      <c r="X388" s="10"/>
      <c r="Z388" s="1"/>
      <c r="AB388" s="1"/>
      <c r="AF388" s="1"/>
      <c r="AJ388" s="1"/>
      <c r="AL388" s="1"/>
    </row>
    <row r="389" spans="1:38" ht="13.8" x14ac:dyDescent="0.25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1"/>
      <c r="M389" s="11"/>
      <c r="N389" s="12"/>
      <c r="O389" s="12"/>
      <c r="P389" s="10"/>
      <c r="Q389" s="10"/>
      <c r="R389" s="10"/>
      <c r="S389" s="13">
        <f>SUM(Table32[[#This Row],[Female ( age less than 17)]:[Male ( More than 18)2]])</f>
        <v>0</v>
      </c>
      <c r="T389" s="10"/>
      <c r="U389" s="10"/>
      <c r="V389" s="10"/>
      <c r="W389" s="10"/>
      <c r="X389" s="10"/>
      <c r="Z389" s="1"/>
      <c r="AB389" s="1"/>
      <c r="AF389" s="1"/>
      <c r="AJ389" s="1"/>
      <c r="AL389" s="1"/>
    </row>
    <row r="390" spans="1:38" ht="13.8" x14ac:dyDescent="0.25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1"/>
      <c r="M390" s="11"/>
      <c r="N390" s="12"/>
      <c r="O390" s="12"/>
      <c r="P390" s="10"/>
      <c r="Q390" s="10"/>
      <c r="R390" s="10"/>
      <c r="S390" s="13">
        <f>SUM(Table32[[#This Row],[Female ( age less than 17)]:[Male ( More than 18)2]])</f>
        <v>0</v>
      </c>
      <c r="T390" s="10"/>
      <c r="U390" s="10"/>
      <c r="V390" s="10"/>
      <c r="W390" s="10"/>
      <c r="X390" s="10"/>
      <c r="Z390" s="1"/>
      <c r="AB390" s="1"/>
      <c r="AF390" s="1"/>
      <c r="AJ390" s="1"/>
      <c r="AL390" s="1"/>
    </row>
    <row r="391" spans="1:38" ht="13.8" x14ac:dyDescent="0.25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1"/>
      <c r="M391" s="11"/>
      <c r="N391" s="12"/>
      <c r="O391" s="12"/>
      <c r="P391" s="10"/>
      <c r="Q391" s="10"/>
      <c r="R391" s="10"/>
      <c r="S391" s="13">
        <f>SUM(Table32[[#This Row],[Female ( age less than 17)]:[Male ( More than 18)2]])</f>
        <v>0</v>
      </c>
      <c r="T391" s="10"/>
      <c r="U391" s="10"/>
      <c r="V391" s="10"/>
      <c r="W391" s="10"/>
      <c r="X391" s="10"/>
      <c r="Z391" s="1"/>
      <c r="AB391" s="1"/>
      <c r="AF391" s="1"/>
      <c r="AJ391" s="1"/>
      <c r="AL391" s="1"/>
    </row>
    <row r="392" spans="1:38" ht="13.8" x14ac:dyDescent="0.25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1"/>
      <c r="M392" s="11"/>
      <c r="N392" s="12"/>
      <c r="O392" s="12"/>
      <c r="P392" s="10"/>
      <c r="Q392" s="10"/>
      <c r="R392" s="10"/>
      <c r="S392" s="13">
        <f>SUM(Table32[[#This Row],[Female ( age less than 17)]:[Male ( More than 18)2]])</f>
        <v>0</v>
      </c>
      <c r="T392" s="10"/>
      <c r="U392" s="10"/>
      <c r="V392" s="10"/>
      <c r="W392" s="10"/>
      <c r="X392" s="10"/>
      <c r="Z392" s="1"/>
      <c r="AB392" s="1"/>
      <c r="AF392" s="1"/>
      <c r="AJ392" s="1"/>
      <c r="AL392" s="1"/>
    </row>
    <row r="393" spans="1:38" ht="13.8" x14ac:dyDescent="0.25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1"/>
      <c r="M393" s="11"/>
      <c r="N393" s="12"/>
      <c r="O393" s="12"/>
      <c r="P393" s="10"/>
      <c r="Q393" s="10"/>
      <c r="R393" s="10"/>
      <c r="S393" s="13">
        <f>SUM(Table32[[#This Row],[Female ( age less than 17)]:[Male ( More than 18)2]])</f>
        <v>0</v>
      </c>
      <c r="T393" s="10"/>
      <c r="U393" s="10"/>
      <c r="V393" s="10"/>
      <c r="W393" s="10"/>
      <c r="X393" s="10"/>
      <c r="Z393" s="1"/>
      <c r="AB393" s="1"/>
      <c r="AF393" s="1"/>
      <c r="AJ393" s="1"/>
      <c r="AL393" s="1"/>
    </row>
    <row r="394" spans="1:38" ht="13.8" x14ac:dyDescent="0.25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1"/>
      <c r="M394" s="11"/>
      <c r="N394" s="12"/>
      <c r="O394" s="12"/>
      <c r="P394" s="10"/>
      <c r="Q394" s="10"/>
      <c r="R394" s="10"/>
      <c r="S394" s="13">
        <f>SUM(Table32[[#This Row],[Female ( age less than 17)]:[Male ( More than 18)2]])</f>
        <v>0</v>
      </c>
      <c r="T394" s="10"/>
      <c r="U394" s="10"/>
      <c r="V394" s="10"/>
      <c r="W394" s="10"/>
      <c r="X394" s="10"/>
      <c r="Z394" s="1"/>
      <c r="AB394" s="1"/>
      <c r="AF394" s="1"/>
      <c r="AJ394" s="1"/>
      <c r="AL394" s="1"/>
    </row>
    <row r="395" spans="1:38" ht="13.8" x14ac:dyDescent="0.25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1"/>
      <c r="M395" s="11"/>
      <c r="N395" s="12"/>
      <c r="O395" s="12"/>
      <c r="P395" s="10"/>
      <c r="Q395" s="10"/>
      <c r="R395" s="10"/>
      <c r="S395" s="13">
        <f>SUM(Table32[[#This Row],[Female ( age less than 17)]:[Male ( More than 18)2]])</f>
        <v>0</v>
      </c>
      <c r="T395" s="10"/>
      <c r="U395" s="10"/>
      <c r="V395" s="10"/>
      <c r="W395" s="10"/>
      <c r="X395" s="10"/>
      <c r="Z395" s="1"/>
      <c r="AB395" s="1"/>
      <c r="AF395" s="1"/>
      <c r="AJ395" s="1"/>
      <c r="AL395" s="1"/>
    </row>
    <row r="396" spans="1:38" ht="13.8" x14ac:dyDescent="0.25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1"/>
      <c r="M396" s="11"/>
      <c r="N396" s="12"/>
      <c r="O396" s="12"/>
      <c r="P396" s="10"/>
      <c r="Q396" s="10"/>
      <c r="R396" s="10"/>
      <c r="S396" s="13">
        <f>SUM(Table32[[#This Row],[Female ( age less than 17)]:[Male ( More than 18)2]])</f>
        <v>0</v>
      </c>
      <c r="T396" s="10"/>
      <c r="U396" s="10"/>
      <c r="V396" s="10"/>
      <c r="W396" s="10"/>
      <c r="X396" s="10"/>
      <c r="Z396" s="1"/>
      <c r="AB396" s="1"/>
      <c r="AF396" s="1"/>
      <c r="AJ396" s="1"/>
      <c r="AL396" s="1"/>
    </row>
    <row r="397" spans="1:38" ht="13.8" x14ac:dyDescent="0.25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1"/>
      <c r="M397" s="11"/>
      <c r="N397" s="12"/>
      <c r="O397" s="12"/>
      <c r="P397" s="10"/>
      <c r="Q397" s="10"/>
      <c r="R397" s="10"/>
      <c r="S397" s="13">
        <f>SUM(Table32[[#This Row],[Female ( age less than 17)]:[Male ( More than 18)2]])</f>
        <v>0</v>
      </c>
      <c r="T397" s="10"/>
      <c r="U397" s="10"/>
      <c r="V397" s="10"/>
      <c r="W397" s="10"/>
      <c r="X397" s="10"/>
      <c r="Z397" s="1"/>
      <c r="AB397" s="1"/>
      <c r="AF397" s="1"/>
      <c r="AJ397" s="1"/>
      <c r="AL397" s="1"/>
    </row>
    <row r="398" spans="1:38" ht="13.8" x14ac:dyDescent="0.25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1"/>
      <c r="M398" s="11"/>
      <c r="N398" s="12"/>
      <c r="O398" s="12"/>
      <c r="P398" s="10"/>
      <c r="Q398" s="10"/>
      <c r="R398" s="10"/>
      <c r="S398" s="13">
        <f>SUM(Table32[[#This Row],[Female ( age less than 17)]:[Male ( More than 18)2]])</f>
        <v>0</v>
      </c>
      <c r="T398" s="10"/>
      <c r="U398" s="10"/>
      <c r="V398" s="10"/>
      <c r="W398" s="10"/>
      <c r="X398" s="10"/>
      <c r="Z398" s="1"/>
      <c r="AB398" s="1"/>
      <c r="AF398" s="1"/>
      <c r="AJ398" s="1"/>
      <c r="AL398" s="1"/>
    </row>
    <row r="399" spans="1:38" ht="13.8" x14ac:dyDescent="0.25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1"/>
      <c r="M399" s="11"/>
      <c r="N399" s="12"/>
      <c r="O399" s="12"/>
      <c r="P399" s="10"/>
      <c r="Q399" s="10"/>
      <c r="R399" s="10"/>
      <c r="S399" s="13">
        <f>SUM(Table32[[#This Row],[Female ( age less than 17)]:[Male ( More than 18)2]])</f>
        <v>0</v>
      </c>
      <c r="T399" s="10"/>
      <c r="U399" s="10"/>
      <c r="V399" s="10"/>
      <c r="W399" s="10"/>
      <c r="X399" s="10"/>
      <c r="Z399" s="1"/>
      <c r="AB399" s="1"/>
      <c r="AF399" s="1"/>
      <c r="AJ399" s="1"/>
      <c r="AL399" s="1"/>
    </row>
    <row r="400" spans="1:38" ht="13.8" x14ac:dyDescent="0.25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1"/>
      <c r="M400" s="11"/>
      <c r="N400" s="12"/>
      <c r="O400" s="12"/>
      <c r="P400" s="10"/>
      <c r="Q400" s="10"/>
      <c r="R400" s="10"/>
      <c r="S400" s="13">
        <f>SUM(Table32[[#This Row],[Female ( age less than 17)]:[Male ( More than 18)2]])</f>
        <v>0</v>
      </c>
      <c r="T400" s="10"/>
      <c r="U400" s="10"/>
      <c r="V400" s="10"/>
      <c r="W400" s="10"/>
      <c r="X400" s="10"/>
      <c r="Z400" s="1"/>
      <c r="AB400" s="1"/>
      <c r="AF400" s="1"/>
      <c r="AJ400" s="1"/>
      <c r="AL400" s="1"/>
    </row>
    <row r="401" spans="1:38" ht="13.8" x14ac:dyDescent="0.25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1"/>
      <c r="M401" s="11"/>
      <c r="N401" s="12"/>
      <c r="O401" s="12"/>
      <c r="P401" s="10"/>
      <c r="Q401" s="10"/>
      <c r="R401" s="10"/>
      <c r="S401" s="13">
        <f>SUM(Table32[[#This Row],[Female ( age less than 17)]:[Male ( More than 18)2]])</f>
        <v>0</v>
      </c>
      <c r="T401" s="10"/>
      <c r="U401" s="10"/>
      <c r="V401" s="10"/>
      <c r="W401" s="10"/>
      <c r="X401" s="10"/>
      <c r="Z401" s="1"/>
      <c r="AB401" s="1"/>
      <c r="AF401" s="1"/>
      <c r="AJ401" s="1"/>
      <c r="AL401" s="1"/>
    </row>
    <row r="402" spans="1:38" ht="13.8" x14ac:dyDescent="0.25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1"/>
      <c r="M402" s="11"/>
      <c r="N402" s="12"/>
      <c r="O402" s="12"/>
      <c r="P402" s="10"/>
      <c r="Q402" s="10"/>
      <c r="R402" s="10"/>
      <c r="S402" s="13">
        <f>SUM(Table32[[#This Row],[Female ( age less than 17)]:[Male ( More than 18)2]])</f>
        <v>0</v>
      </c>
      <c r="T402" s="10"/>
      <c r="U402" s="10"/>
      <c r="V402" s="10"/>
      <c r="W402" s="10"/>
      <c r="X402" s="10"/>
      <c r="Z402" s="1"/>
      <c r="AB402" s="1"/>
      <c r="AF402" s="1"/>
      <c r="AJ402" s="1"/>
      <c r="AL402" s="1"/>
    </row>
    <row r="403" spans="1:38" ht="13.8" x14ac:dyDescent="0.25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1"/>
      <c r="M403" s="11"/>
      <c r="N403" s="12"/>
      <c r="O403" s="12"/>
      <c r="P403" s="10"/>
      <c r="Q403" s="10"/>
      <c r="R403" s="10"/>
      <c r="S403" s="13">
        <f>SUM(Table32[[#This Row],[Female ( age less than 17)]:[Male ( More than 18)2]])</f>
        <v>0</v>
      </c>
      <c r="T403" s="10"/>
      <c r="U403" s="10"/>
      <c r="V403" s="10"/>
      <c r="W403" s="10"/>
      <c r="X403" s="10"/>
      <c r="Z403" s="1"/>
      <c r="AB403" s="1"/>
      <c r="AF403" s="1"/>
      <c r="AJ403" s="1"/>
      <c r="AL403" s="1"/>
    </row>
    <row r="404" spans="1:38" ht="13.8" x14ac:dyDescent="0.25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1"/>
      <c r="M404" s="11"/>
      <c r="N404" s="12"/>
      <c r="O404" s="12"/>
      <c r="P404" s="10"/>
      <c r="Q404" s="10"/>
      <c r="R404" s="10"/>
      <c r="S404" s="13">
        <f>SUM(Table32[[#This Row],[Female ( age less than 17)]:[Male ( More than 18)2]])</f>
        <v>0</v>
      </c>
      <c r="T404" s="10"/>
      <c r="U404" s="10"/>
      <c r="V404" s="10"/>
      <c r="W404" s="10"/>
      <c r="X404" s="10"/>
      <c r="Z404" s="1"/>
      <c r="AB404" s="1"/>
      <c r="AF404" s="1"/>
      <c r="AJ404" s="1"/>
      <c r="AL404" s="1"/>
    </row>
    <row r="405" spans="1:38" ht="13.8" x14ac:dyDescent="0.25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1"/>
      <c r="M405" s="11"/>
      <c r="N405" s="12"/>
      <c r="O405" s="12"/>
      <c r="P405" s="10"/>
      <c r="Q405" s="10"/>
      <c r="R405" s="10"/>
      <c r="S405" s="13">
        <f>SUM(Table32[[#This Row],[Female ( age less than 17)]:[Male ( More than 18)2]])</f>
        <v>0</v>
      </c>
      <c r="T405" s="10"/>
      <c r="U405" s="10"/>
      <c r="V405" s="10"/>
      <c r="W405" s="10"/>
      <c r="X405" s="10"/>
      <c r="Z405" s="1"/>
      <c r="AB405" s="1"/>
      <c r="AF405" s="1"/>
      <c r="AJ405" s="1"/>
      <c r="AL405" s="1"/>
    </row>
    <row r="406" spans="1:38" ht="13.8" x14ac:dyDescent="0.25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1"/>
      <c r="M406" s="11"/>
      <c r="N406" s="12"/>
      <c r="O406" s="12"/>
      <c r="P406" s="10"/>
      <c r="Q406" s="10"/>
      <c r="R406" s="10"/>
      <c r="S406" s="13">
        <f>SUM(Table32[[#This Row],[Female ( age less than 17)]:[Male ( More than 18)2]])</f>
        <v>0</v>
      </c>
      <c r="T406" s="10"/>
      <c r="U406" s="10"/>
      <c r="V406" s="10"/>
      <c r="W406" s="10"/>
      <c r="X406" s="10"/>
      <c r="Z406" s="1"/>
      <c r="AB406" s="1"/>
      <c r="AF406" s="1"/>
      <c r="AJ406" s="1"/>
      <c r="AL406" s="1"/>
    </row>
    <row r="407" spans="1:38" ht="13.8" x14ac:dyDescent="0.25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1"/>
      <c r="M407" s="11"/>
      <c r="N407" s="12"/>
      <c r="O407" s="12"/>
      <c r="P407" s="10"/>
      <c r="Q407" s="10"/>
      <c r="R407" s="10"/>
      <c r="S407" s="13">
        <f>SUM(Table32[[#This Row],[Female ( age less than 17)]:[Male ( More than 18)2]])</f>
        <v>0</v>
      </c>
      <c r="T407" s="10"/>
      <c r="U407" s="10"/>
      <c r="V407" s="10"/>
      <c r="W407" s="10"/>
      <c r="X407" s="10"/>
      <c r="Z407" s="1"/>
      <c r="AB407" s="1"/>
      <c r="AF407" s="1"/>
      <c r="AJ407" s="1"/>
      <c r="AL407" s="1"/>
    </row>
    <row r="408" spans="1:38" ht="13.8" x14ac:dyDescent="0.25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1"/>
      <c r="M408" s="11"/>
      <c r="N408" s="12"/>
      <c r="O408" s="12"/>
      <c r="P408" s="10"/>
      <c r="Q408" s="10"/>
      <c r="R408" s="10"/>
      <c r="S408" s="13">
        <f>SUM(Table32[[#This Row],[Female ( age less than 17)]:[Male ( More than 18)2]])</f>
        <v>0</v>
      </c>
      <c r="T408" s="10"/>
      <c r="U408" s="10"/>
      <c r="V408" s="10"/>
      <c r="W408" s="10"/>
      <c r="X408" s="10"/>
      <c r="Z408" s="1"/>
      <c r="AB408" s="1"/>
      <c r="AF408" s="1"/>
      <c r="AJ408" s="1"/>
      <c r="AL408" s="1"/>
    </row>
    <row r="409" spans="1:38" ht="13.8" x14ac:dyDescent="0.25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1"/>
      <c r="M409" s="11"/>
      <c r="N409" s="12"/>
      <c r="O409" s="12"/>
      <c r="P409" s="10"/>
      <c r="Q409" s="10"/>
      <c r="R409" s="10"/>
      <c r="S409" s="13">
        <f>SUM(Table32[[#This Row],[Female ( age less than 17)]:[Male ( More than 18)2]])</f>
        <v>0</v>
      </c>
      <c r="T409" s="10"/>
      <c r="U409" s="10"/>
      <c r="V409" s="10"/>
      <c r="W409" s="10"/>
      <c r="X409" s="10"/>
      <c r="Z409" s="1"/>
      <c r="AB409" s="1"/>
      <c r="AF409" s="1"/>
      <c r="AJ409" s="1"/>
      <c r="AL409" s="1"/>
    </row>
    <row r="410" spans="1:38" ht="13.8" x14ac:dyDescent="0.25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1"/>
      <c r="M410" s="11"/>
      <c r="N410" s="12"/>
      <c r="O410" s="12"/>
      <c r="P410" s="10"/>
      <c r="Q410" s="10"/>
      <c r="R410" s="10"/>
      <c r="S410" s="13">
        <f>SUM(Table32[[#This Row],[Female ( age less than 17)]:[Male ( More than 18)2]])</f>
        <v>0</v>
      </c>
      <c r="T410" s="10"/>
      <c r="U410" s="10"/>
      <c r="V410" s="10"/>
      <c r="W410" s="10"/>
      <c r="X410" s="10"/>
      <c r="Z410" s="1"/>
      <c r="AB410" s="1"/>
      <c r="AF410" s="1"/>
      <c r="AJ410" s="1"/>
      <c r="AL410" s="1"/>
    </row>
    <row r="411" spans="1:38" ht="13.8" x14ac:dyDescent="0.25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1"/>
      <c r="M411" s="11"/>
      <c r="N411" s="12"/>
      <c r="O411" s="12"/>
      <c r="P411" s="10"/>
      <c r="Q411" s="10"/>
      <c r="R411" s="10"/>
      <c r="S411" s="13">
        <f>SUM(Table32[[#This Row],[Female ( age less than 17)]:[Male ( More than 18)2]])</f>
        <v>0</v>
      </c>
      <c r="T411" s="10"/>
      <c r="U411" s="10"/>
      <c r="V411" s="10"/>
      <c r="W411" s="10"/>
      <c r="X411" s="10"/>
      <c r="Z411" s="1"/>
      <c r="AB411" s="1"/>
      <c r="AF411" s="1"/>
      <c r="AJ411" s="1"/>
      <c r="AL411" s="1"/>
    </row>
    <row r="412" spans="1:38" ht="13.8" x14ac:dyDescent="0.25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1"/>
      <c r="M412" s="11"/>
      <c r="N412" s="12"/>
      <c r="O412" s="12"/>
      <c r="P412" s="10"/>
      <c r="Q412" s="10"/>
      <c r="R412" s="10"/>
      <c r="S412" s="13">
        <f>SUM(Table32[[#This Row],[Female ( age less than 17)]:[Male ( More than 18)2]])</f>
        <v>0</v>
      </c>
      <c r="T412" s="10"/>
      <c r="U412" s="10"/>
      <c r="V412" s="10"/>
      <c r="W412" s="10"/>
      <c r="X412" s="10"/>
      <c r="Z412" s="1"/>
      <c r="AB412" s="1"/>
      <c r="AF412" s="1"/>
      <c r="AJ412" s="1"/>
      <c r="AL412" s="1"/>
    </row>
    <row r="413" spans="1:38" ht="13.8" x14ac:dyDescent="0.25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1"/>
      <c r="M413" s="11"/>
      <c r="N413" s="12"/>
      <c r="O413" s="12"/>
      <c r="P413" s="10"/>
      <c r="Q413" s="10"/>
      <c r="R413" s="10"/>
      <c r="S413" s="13">
        <f>SUM(Table32[[#This Row],[Female ( age less than 17)]:[Male ( More than 18)2]])</f>
        <v>0</v>
      </c>
      <c r="T413" s="10"/>
      <c r="U413" s="10"/>
      <c r="V413" s="10"/>
      <c r="W413" s="10"/>
      <c r="X413" s="10"/>
      <c r="Z413" s="1"/>
      <c r="AB413" s="1"/>
      <c r="AF413" s="1"/>
      <c r="AJ413" s="1"/>
      <c r="AL413" s="1"/>
    </row>
    <row r="414" spans="1:38" ht="13.8" x14ac:dyDescent="0.25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1"/>
      <c r="M414" s="11"/>
      <c r="N414" s="12"/>
      <c r="O414" s="12"/>
      <c r="P414" s="10"/>
      <c r="Q414" s="10"/>
      <c r="R414" s="10"/>
      <c r="S414" s="13">
        <f>SUM(Table32[[#This Row],[Female ( age less than 17)]:[Male ( More than 18)2]])</f>
        <v>0</v>
      </c>
      <c r="T414" s="10"/>
      <c r="U414" s="10"/>
      <c r="V414" s="10"/>
      <c r="W414" s="10"/>
      <c r="X414" s="10"/>
      <c r="Z414" s="1"/>
      <c r="AB414" s="1"/>
      <c r="AF414" s="1"/>
      <c r="AJ414" s="1"/>
      <c r="AL414" s="1"/>
    </row>
    <row r="415" spans="1:38" ht="13.8" x14ac:dyDescent="0.25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1"/>
      <c r="M415" s="11"/>
      <c r="N415" s="12"/>
      <c r="O415" s="12"/>
      <c r="P415" s="10"/>
      <c r="Q415" s="10"/>
      <c r="R415" s="10"/>
      <c r="S415" s="13">
        <f>SUM(Table32[[#This Row],[Female ( age less than 17)]:[Male ( More than 18)2]])</f>
        <v>0</v>
      </c>
      <c r="T415" s="10"/>
      <c r="U415" s="10"/>
      <c r="V415" s="10"/>
      <c r="W415" s="10"/>
      <c r="X415" s="10"/>
      <c r="Z415" s="1"/>
      <c r="AB415" s="1"/>
      <c r="AF415" s="1"/>
      <c r="AJ415" s="1"/>
      <c r="AL415" s="1"/>
    </row>
    <row r="416" spans="1:38" ht="13.8" x14ac:dyDescent="0.25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1"/>
      <c r="M416" s="11"/>
      <c r="N416" s="12"/>
      <c r="O416" s="12"/>
      <c r="P416" s="10"/>
      <c r="Q416" s="10"/>
      <c r="R416" s="10"/>
      <c r="S416" s="13">
        <f>SUM(Table32[[#This Row],[Female ( age less than 17)]:[Male ( More than 18)2]])</f>
        <v>0</v>
      </c>
      <c r="T416" s="10"/>
      <c r="U416" s="10"/>
      <c r="V416" s="10"/>
      <c r="W416" s="10"/>
      <c r="X416" s="10"/>
      <c r="Z416" s="1"/>
      <c r="AB416" s="1"/>
      <c r="AF416" s="1"/>
      <c r="AJ416" s="1"/>
      <c r="AL416" s="1"/>
    </row>
    <row r="417" spans="1:38" ht="13.8" x14ac:dyDescent="0.25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1"/>
      <c r="M417" s="11"/>
      <c r="N417" s="12"/>
      <c r="O417" s="12"/>
      <c r="P417" s="10"/>
      <c r="Q417" s="10"/>
      <c r="R417" s="10"/>
      <c r="S417" s="13">
        <f>SUM(Table32[[#This Row],[Female ( age less than 17)]:[Male ( More than 18)2]])</f>
        <v>0</v>
      </c>
      <c r="T417" s="10"/>
      <c r="U417" s="10"/>
      <c r="V417" s="10"/>
      <c r="W417" s="10"/>
      <c r="X417" s="10"/>
      <c r="Z417" s="1"/>
      <c r="AB417" s="1"/>
      <c r="AF417" s="1"/>
      <c r="AJ417" s="1"/>
      <c r="AL417" s="1"/>
    </row>
    <row r="418" spans="1:38" ht="13.8" x14ac:dyDescent="0.25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1"/>
      <c r="M418" s="11"/>
      <c r="N418" s="12"/>
      <c r="O418" s="12"/>
      <c r="P418" s="10"/>
      <c r="Q418" s="10"/>
      <c r="R418" s="10"/>
      <c r="S418" s="13">
        <f>SUM(Table32[[#This Row],[Female ( age less than 17)]:[Male ( More than 18)2]])</f>
        <v>0</v>
      </c>
      <c r="T418" s="10"/>
      <c r="U418" s="10"/>
      <c r="V418" s="10"/>
      <c r="W418" s="10"/>
      <c r="X418" s="10"/>
      <c r="Z418" s="1"/>
      <c r="AB418" s="1"/>
      <c r="AF418" s="1"/>
      <c r="AJ418" s="1"/>
      <c r="AL418" s="1"/>
    </row>
    <row r="419" spans="1:38" ht="13.8" x14ac:dyDescent="0.25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1"/>
      <c r="M419" s="11"/>
      <c r="N419" s="12"/>
      <c r="O419" s="12"/>
      <c r="P419" s="10"/>
      <c r="Q419" s="10"/>
      <c r="R419" s="10"/>
      <c r="S419" s="13">
        <f>SUM(Table32[[#This Row],[Female ( age less than 17)]:[Male ( More than 18)2]])</f>
        <v>0</v>
      </c>
      <c r="T419" s="10"/>
      <c r="U419" s="10"/>
      <c r="V419" s="10"/>
      <c r="W419" s="10"/>
      <c r="X419" s="10"/>
      <c r="Z419" s="1"/>
      <c r="AB419" s="1"/>
      <c r="AF419" s="1"/>
      <c r="AJ419" s="1"/>
      <c r="AL419" s="1"/>
    </row>
    <row r="420" spans="1:38" ht="13.8" x14ac:dyDescent="0.25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1"/>
      <c r="M420" s="11"/>
      <c r="N420" s="12"/>
      <c r="O420" s="12"/>
      <c r="P420" s="10"/>
      <c r="Q420" s="10"/>
      <c r="R420" s="10"/>
      <c r="S420" s="13">
        <f>SUM(Table32[[#This Row],[Female ( age less than 17)]:[Male ( More than 18)2]])</f>
        <v>0</v>
      </c>
      <c r="T420" s="10"/>
      <c r="U420" s="10"/>
      <c r="V420" s="10"/>
      <c r="W420" s="10"/>
      <c r="X420" s="10"/>
      <c r="Z420" s="1"/>
      <c r="AB420" s="1"/>
      <c r="AF420" s="1"/>
      <c r="AJ420" s="1"/>
      <c r="AL420" s="1"/>
    </row>
    <row r="421" spans="1:38" ht="13.8" x14ac:dyDescent="0.25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1"/>
      <c r="M421" s="11"/>
      <c r="N421" s="12"/>
      <c r="O421" s="12"/>
      <c r="P421" s="10"/>
      <c r="Q421" s="10"/>
      <c r="R421" s="10"/>
      <c r="S421" s="13">
        <f>SUM(Table32[[#This Row],[Female ( age less than 17)]:[Male ( More than 18)2]])</f>
        <v>0</v>
      </c>
      <c r="T421" s="10"/>
      <c r="U421" s="10"/>
      <c r="V421" s="10"/>
      <c r="W421" s="10"/>
      <c r="X421" s="10"/>
      <c r="Z421" s="1"/>
      <c r="AB421" s="1"/>
      <c r="AF421" s="1"/>
      <c r="AJ421" s="1"/>
      <c r="AL421" s="1"/>
    </row>
    <row r="422" spans="1:38" ht="13.8" x14ac:dyDescent="0.25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1"/>
      <c r="M422" s="11"/>
      <c r="N422" s="12"/>
      <c r="O422" s="12"/>
      <c r="P422" s="10"/>
      <c r="Q422" s="10"/>
      <c r="R422" s="10"/>
      <c r="S422" s="13">
        <f>SUM(Table32[[#This Row],[Female ( age less than 17)]:[Male ( More than 18)2]])</f>
        <v>0</v>
      </c>
      <c r="T422" s="10"/>
      <c r="U422" s="10"/>
      <c r="V422" s="10"/>
      <c r="W422" s="10"/>
      <c r="X422" s="10"/>
      <c r="Z422" s="1"/>
      <c r="AB422" s="1"/>
      <c r="AF422" s="1"/>
      <c r="AJ422" s="1"/>
      <c r="AL422" s="1"/>
    </row>
    <row r="423" spans="1:38" ht="13.8" x14ac:dyDescent="0.25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1"/>
      <c r="M423" s="11"/>
      <c r="N423" s="12"/>
      <c r="O423" s="12"/>
      <c r="P423" s="10"/>
      <c r="Q423" s="10"/>
      <c r="R423" s="10"/>
      <c r="S423" s="13">
        <f>SUM(Table32[[#This Row],[Female ( age less than 17)]:[Male ( More than 18)2]])</f>
        <v>0</v>
      </c>
      <c r="T423" s="10"/>
      <c r="U423" s="10"/>
      <c r="V423" s="10"/>
      <c r="W423" s="10"/>
      <c r="X423" s="10"/>
      <c r="Z423" s="1"/>
      <c r="AB423" s="1"/>
      <c r="AF423" s="1"/>
      <c r="AJ423" s="1"/>
      <c r="AL423" s="1"/>
    </row>
    <row r="424" spans="1:38" ht="13.8" x14ac:dyDescent="0.25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1"/>
      <c r="M424" s="11"/>
      <c r="N424" s="12"/>
      <c r="O424" s="12"/>
      <c r="P424" s="10"/>
      <c r="Q424" s="10"/>
      <c r="R424" s="10"/>
      <c r="S424" s="13">
        <f>SUM(Table32[[#This Row],[Female ( age less than 17)]:[Male ( More than 18)2]])</f>
        <v>0</v>
      </c>
      <c r="T424" s="10"/>
      <c r="U424" s="10"/>
      <c r="V424" s="10"/>
      <c r="W424" s="10"/>
      <c r="X424" s="10"/>
      <c r="Z424" s="1"/>
      <c r="AB424" s="1"/>
      <c r="AF424" s="1"/>
      <c r="AJ424" s="1"/>
      <c r="AL424" s="1"/>
    </row>
    <row r="425" spans="1:38" ht="13.8" x14ac:dyDescent="0.25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1"/>
      <c r="M425" s="11"/>
      <c r="N425" s="12"/>
      <c r="O425" s="12"/>
      <c r="P425" s="10"/>
      <c r="Q425" s="10"/>
      <c r="R425" s="10"/>
      <c r="S425" s="13">
        <f>SUM(Table32[[#This Row],[Female ( age less than 17)]:[Male ( More than 18)2]])</f>
        <v>0</v>
      </c>
      <c r="T425" s="10"/>
      <c r="U425" s="10"/>
      <c r="V425" s="10"/>
      <c r="W425" s="10"/>
      <c r="X425" s="10"/>
      <c r="Z425" s="1"/>
      <c r="AB425" s="1"/>
      <c r="AF425" s="1"/>
      <c r="AJ425" s="1"/>
      <c r="AL425" s="1"/>
    </row>
    <row r="426" spans="1:38" ht="13.8" x14ac:dyDescent="0.25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1"/>
      <c r="M426" s="11"/>
      <c r="N426" s="12"/>
      <c r="O426" s="12"/>
      <c r="P426" s="10"/>
      <c r="Q426" s="10"/>
      <c r="R426" s="10"/>
      <c r="S426" s="13">
        <f>SUM(Table32[[#This Row],[Female ( age less than 17)]:[Male ( More than 18)2]])</f>
        <v>0</v>
      </c>
      <c r="T426" s="10"/>
      <c r="U426" s="10"/>
      <c r="V426" s="10"/>
      <c r="W426" s="10"/>
      <c r="X426" s="10"/>
      <c r="Z426" s="1"/>
      <c r="AB426" s="1"/>
      <c r="AF426" s="1"/>
      <c r="AJ426" s="1"/>
      <c r="AL426" s="1"/>
    </row>
    <row r="427" spans="1:38" ht="13.8" x14ac:dyDescent="0.25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1"/>
      <c r="M427" s="11"/>
      <c r="N427" s="12"/>
      <c r="O427" s="12"/>
      <c r="P427" s="10"/>
      <c r="Q427" s="10"/>
      <c r="R427" s="10"/>
      <c r="S427" s="13">
        <f>SUM(Table32[[#This Row],[Female ( age less than 17)]:[Male ( More than 18)2]])</f>
        <v>0</v>
      </c>
      <c r="T427" s="10"/>
      <c r="U427" s="10"/>
      <c r="V427" s="10"/>
      <c r="W427" s="10"/>
      <c r="X427" s="10"/>
      <c r="Z427" s="1"/>
      <c r="AB427" s="1"/>
      <c r="AF427" s="1"/>
      <c r="AJ427" s="1"/>
      <c r="AL427" s="1"/>
    </row>
    <row r="428" spans="1:38" ht="13.8" x14ac:dyDescent="0.25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1"/>
      <c r="M428" s="11"/>
      <c r="N428" s="12"/>
      <c r="O428" s="12"/>
      <c r="P428" s="10"/>
      <c r="Q428" s="10"/>
      <c r="R428" s="10"/>
      <c r="S428" s="13">
        <f>SUM(Table32[[#This Row],[Female ( age less than 17)]:[Male ( More than 18)2]])</f>
        <v>0</v>
      </c>
      <c r="T428" s="10"/>
      <c r="U428" s="10"/>
      <c r="V428" s="10"/>
      <c r="W428" s="10"/>
      <c r="X428" s="10"/>
      <c r="Z428" s="1"/>
      <c r="AB428" s="1"/>
      <c r="AF428" s="1"/>
      <c r="AJ428" s="1"/>
      <c r="AL428" s="1"/>
    </row>
    <row r="429" spans="1:38" ht="13.8" x14ac:dyDescent="0.25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1"/>
      <c r="M429" s="11"/>
      <c r="N429" s="12"/>
      <c r="O429" s="12"/>
      <c r="P429" s="10"/>
      <c r="Q429" s="10"/>
      <c r="R429" s="10"/>
      <c r="S429" s="13">
        <f>SUM(Table32[[#This Row],[Female ( age less than 17)]:[Male ( More than 18)2]])</f>
        <v>0</v>
      </c>
      <c r="T429" s="10"/>
      <c r="U429" s="10"/>
      <c r="V429" s="10"/>
      <c r="W429" s="10"/>
      <c r="X429" s="10"/>
      <c r="Z429" s="1"/>
      <c r="AB429" s="1"/>
      <c r="AF429" s="1"/>
      <c r="AJ429" s="1"/>
      <c r="AL429" s="1"/>
    </row>
    <row r="430" spans="1:38" ht="13.8" x14ac:dyDescent="0.25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1"/>
      <c r="M430" s="11"/>
      <c r="N430" s="12"/>
      <c r="O430" s="12"/>
      <c r="P430" s="10"/>
      <c r="Q430" s="10"/>
      <c r="R430" s="10"/>
      <c r="S430" s="13">
        <f>SUM(Table32[[#This Row],[Female ( age less than 17)]:[Male ( More than 18)2]])</f>
        <v>0</v>
      </c>
      <c r="T430" s="10"/>
      <c r="U430" s="10"/>
      <c r="V430" s="10"/>
      <c r="W430" s="10"/>
      <c r="X430" s="10"/>
      <c r="Z430" s="1"/>
      <c r="AB430" s="1"/>
      <c r="AF430" s="1"/>
      <c r="AJ430" s="1"/>
      <c r="AL430" s="1"/>
    </row>
    <row r="431" spans="1:38" ht="13.8" x14ac:dyDescent="0.25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1"/>
      <c r="M431" s="11"/>
      <c r="N431" s="12"/>
      <c r="O431" s="12"/>
      <c r="P431" s="10"/>
      <c r="Q431" s="10"/>
      <c r="R431" s="10"/>
      <c r="S431" s="13">
        <f>SUM(Table32[[#This Row],[Female ( age less than 17)]:[Male ( More than 18)2]])</f>
        <v>0</v>
      </c>
      <c r="T431" s="10"/>
      <c r="U431" s="10"/>
      <c r="V431" s="10"/>
      <c r="W431" s="10"/>
      <c r="X431" s="10"/>
      <c r="Z431" s="1"/>
      <c r="AB431" s="1"/>
      <c r="AF431" s="1"/>
      <c r="AJ431" s="1"/>
      <c r="AL431" s="1"/>
    </row>
    <row r="432" spans="1:38" ht="13.8" x14ac:dyDescent="0.25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1"/>
      <c r="M432" s="11"/>
      <c r="N432" s="12"/>
      <c r="O432" s="12"/>
      <c r="P432" s="10"/>
      <c r="Q432" s="10"/>
      <c r="R432" s="10"/>
      <c r="S432" s="13">
        <f>SUM(Table32[[#This Row],[Female ( age less than 17)]:[Male ( More than 18)2]])</f>
        <v>0</v>
      </c>
      <c r="T432" s="10"/>
      <c r="U432" s="10"/>
      <c r="V432" s="10"/>
      <c r="W432" s="10"/>
      <c r="X432" s="10"/>
      <c r="Z432" s="1"/>
      <c r="AB432" s="1"/>
      <c r="AF432" s="1"/>
      <c r="AJ432" s="1"/>
      <c r="AL432" s="1"/>
    </row>
    <row r="433" spans="1:38" ht="13.8" x14ac:dyDescent="0.25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1"/>
      <c r="M433" s="11"/>
      <c r="N433" s="12"/>
      <c r="O433" s="12"/>
      <c r="P433" s="10"/>
      <c r="Q433" s="10"/>
      <c r="R433" s="10"/>
      <c r="S433" s="13">
        <f>SUM(Table32[[#This Row],[Female ( age less than 17)]:[Male ( More than 18)2]])</f>
        <v>0</v>
      </c>
      <c r="T433" s="10"/>
      <c r="U433" s="10"/>
      <c r="V433" s="10"/>
      <c r="W433" s="10"/>
      <c r="X433" s="10"/>
      <c r="Z433" s="1"/>
      <c r="AB433" s="1"/>
      <c r="AF433" s="1"/>
      <c r="AJ433" s="1"/>
      <c r="AL433" s="1"/>
    </row>
    <row r="434" spans="1:38" ht="13.8" x14ac:dyDescent="0.25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1"/>
      <c r="M434" s="11"/>
      <c r="N434" s="12"/>
      <c r="O434" s="12"/>
      <c r="P434" s="10"/>
      <c r="Q434" s="10"/>
      <c r="R434" s="10"/>
      <c r="S434" s="13">
        <f>SUM(Table32[[#This Row],[Female ( age less than 17)]:[Male ( More than 18)2]])</f>
        <v>0</v>
      </c>
      <c r="T434" s="10"/>
      <c r="U434" s="10"/>
      <c r="V434" s="10"/>
      <c r="W434" s="10"/>
      <c r="X434" s="10"/>
      <c r="Z434" s="1"/>
      <c r="AB434" s="1"/>
      <c r="AF434" s="1"/>
      <c r="AJ434" s="1"/>
      <c r="AL434" s="1"/>
    </row>
    <row r="435" spans="1:38" ht="13.8" x14ac:dyDescent="0.25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1"/>
      <c r="M435" s="11"/>
      <c r="N435" s="12"/>
      <c r="O435" s="12"/>
      <c r="P435" s="10"/>
      <c r="Q435" s="10"/>
      <c r="R435" s="10"/>
      <c r="S435" s="13">
        <f>SUM(Table32[[#This Row],[Female ( age less than 17)]:[Male ( More than 18)2]])</f>
        <v>0</v>
      </c>
      <c r="T435" s="10"/>
      <c r="U435" s="10"/>
      <c r="V435" s="10"/>
      <c r="W435" s="10"/>
      <c r="X435" s="10"/>
      <c r="Z435" s="1"/>
      <c r="AB435" s="1"/>
      <c r="AF435" s="1"/>
      <c r="AJ435" s="1"/>
      <c r="AL435" s="1"/>
    </row>
    <row r="436" spans="1:38" ht="13.8" x14ac:dyDescent="0.25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1"/>
      <c r="M436" s="11"/>
      <c r="N436" s="12"/>
      <c r="O436" s="12"/>
      <c r="P436" s="10"/>
      <c r="Q436" s="10"/>
      <c r="R436" s="10"/>
      <c r="S436" s="13">
        <f>SUM(Table32[[#This Row],[Female ( age less than 17)]:[Male ( More than 18)2]])</f>
        <v>0</v>
      </c>
      <c r="T436" s="10"/>
      <c r="U436" s="10"/>
      <c r="V436" s="10"/>
      <c r="W436" s="10"/>
      <c r="X436" s="10"/>
      <c r="Z436" s="1"/>
      <c r="AB436" s="1"/>
      <c r="AF436" s="1"/>
      <c r="AJ436" s="1"/>
      <c r="AL436" s="1"/>
    </row>
    <row r="437" spans="1:38" ht="13.8" x14ac:dyDescent="0.25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1"/>
      <c r="M437" s="11"/>
      <c r="N437" s="12"/>
      <c r="O437" s="12"/>
      <c r="P437" s="10"/>
      <c r="Q437" s="10"/>
      <c r="R437" s="10"/>
      <c r="S437" s="13">
        <f>SUM(Table32[[#This Row],[Female ( age less than 17)]:[Male ( More than 18)2]])</f>
        <v>0</v>
      </c>
      <c r="T437" s="10"/>
      <c r="U437" s="10"/>
      <c r="V437" s="10"/>
      <c r="W437" s="10"/>
      <c r="X437" s="10"/>
      <c r="Z437" s="1"/>
      <c r="AB437" s="1"/>
      <c r="AF437" s="1"/>
      <c r="AJ437" s="1"/>
      <c r="AL437" s="1"/>
    </row>
    <row r="438" spans="1:38" ht="13.8" x14ac:dyDescent="0.25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1"/>
      <c r="M438" s="11"/>
      <c r="N438" s="12"/>
      <c r="O438" s="12"/>
      <c r="P438" s="10"/>
      <c r="Q438" s="10"/>
      <c r="R438" s="10"/>
      <c r="S438" s="13">
        <f>SUM(Table32[[#This Row],[Female ( age less than 17)]:[Male ( More than 18)2]])</f>
        <v>0</v>
      </c>
      <c r="T438" s="10"/>
      <c r="U438" s="10"/>
      <c r="V438" s="10"/>
      <c r="W438" s="10"/>
      <c r="X438" s="10"/>
      <c r="Z438" s="1"/>
      <c r="AB438" s="1"/>
      <c r="AF438" s="1"/>
      <c r="AJ438" s="1"/>
      <c r="AL438" s="1"/>
    </row>
    <row r="439" spans="1:38" ht="13.8" x14ac:dyDescent="0.25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1"/>
      <c r="M439" s="11"/>
      <c r="N439" s="12"/>
      <c r="O439" s="12"/>
      <c r="P439" s="10"/>
      <c r="Q439" s="10"/>
      <c r="R439" s="10"/>
      <c r="S439" s="13">
        <f>SUM(Table32[[#This Row],[Female ( age less than 17)]:[Male ( More than 18)2]])</f>
        <v>0</v>
      </c>
      <c r="T439" s="10"/>
      <c r="U439" s="10"/>
      <c r="V439" s="10"/>
      <c r="W439" s="10"/>
      <c r="X439" s="10"/>
      <c r="Z439" s="1"/>
      <c r="AB439" s="1"/>
      <c r="AF439" s="1"/>
      <c r="AJ439" s="1"/>
      <c r="AL439" s="1"/>
    </row>
    <row r="440" spans="1:38" ht="13.8" x14ac:dyDescent="0.25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1"/>
      <c r="M440" s="11"/>
      <c r="N440" s="12"/>
      <c r="O440" s="12"/>
      <c r="P440" s="10"/>
      <c r="Q440" s="10"/>
      <c r="R440" s="10"/>
      <c r="S440" s="13">
        <f>SUM(Table32[[#This Row],[Female ( age less than 17)]:[Male ( More than 18)2]])</f>
        <v>0</v>
      </c>
      <c r="T440" s="10"/>
      <c r="U440" s="10"/>
      <c r="V440" s="10"/>
      <c r="W440" s="10"/>
      <c r="X440" s="10"/>
      <c r="Z440" s="1"/>
      <c r="AB440" s="1"/>
      <c r="AF440" s="1"/>
      <c r="AJ440" s="1"/>
      <c r="AL440" s="1"/>
    </row>
    <row r="441" spans="1:38" ht="13.8" x14ac:dyDescent="0.25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1"/>
      <c r="M441" s="11"/>
      <c r="N441" s="12"/>
      <c r="O441" s="12"/>
      <c r="P441" s="10"/>
      <c r="Q441" s="10"/>
      <c r="R441" s="10"/>
      <c r="S441" s="13">
        <f>SUM(Table32[[#This Row],[Female ( age less than 17)]:[Male ( More than 18)2]])</f>
        <v>0</v>
      </c>
      <c r="T441" s="10"/>
      <c r="U441" s="10"/>
      <c r="V441" s="10"/>
      <c r="W441" s="10"/>
      <c r="X441" s="10"/>
      <c r="Z441" s="1"/>
      <c r="AB441" s="1"/>
      <c r="AF441" s="1"/>
      <c r="AJ441" s="1"/>
      <c r="AL441" s="1"/>
    </row>
    <row r="442" spans="1:38" ht="13.8" x14ac:dyDescent="0.25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1"/>
      <c r="M442" s="11"/>
      <c r="N442" s="12"/>
      <c r="O442" s="12"/>
      <c r="P442" s="10"/>
      <c r="Q442" s="10"/>
      <c r="R442" s="10"/>
      <c r="S442" s="13">
        <f>SUM(Table32[[#This Row],[Female ( age less than 17)]:[Male ( More than 18)2]])</f>
        <v>0</v>
      </c>
      <c r="T442" s="10"/>
      <c r="U442" s="10"/>
      <c r="V442" s="10"/>
      <c r="W442" s="10"/>
      <c r="X442" s="10"/>
      <c r="Z442" s="1"/>
      <c r="AB442" s="1"/>
      <c r="AF442" s="1"/>
      <c r="AJ442" s="1"/>
      <c r="AL442" s="1"/>
    </row>
    <row r="443" spans="1:38" ht="13.8" x14ac:dyDescent="0.25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1"/>
      <c r="M443" s="11"/>
      <c r="N443" s="12"/>
      <c r="O443" s="12"/>
      <c r="P443" s="10"/>
      <c r="Q443" s="10"/>
      <c r="R443" s="10"/>
      <c r="S443" s="13">
        <f>SUM(Table32[[#This Row],[Female ( age less than 17)]:[Male ( More than 18)2]])</f>
        <v>0</v>
      </c>
      <c r="T443" s="10"/>
      <c r="U443" s="10"/>
      <c r="V443" s="10"/>
      <c r="W443" s="10"/>
      <c r="X443" s="10"/>
      <c r="Z443" s="1"/>
      <c r="AB443" s="1"/>
      <c r="AF443" s="1"/>
      <c r="AJ443" s="1"/>
      <c r="AL443" s="1"/>
    </row>
    <row r="444" spans="1:38" ht="13.8" x14ac:dyDescent="0.25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1"/>
      <c r="M444" s="11"/>
      <c r="N444" s="12"/>
      <c r="O444" s="12"/>
      <c r="P444" s="10"/>
      <c r="Q444" s="10"/>
      <c r="R444" s="10"/>
      <c r="S444" s="13">
        <f>SUM(Table32[[#This Row],[Female ( age less than 17)]:[Male ( More than 18)2]])</f>
        <v>0</v>
      </c>
      <c r="T444" s="10"/>
      <c r="U444" s="10"/>
      <c r="V444" s="10"/>
      <c r="W444" s="10"/>
      <c r="X444" s="10"/>
      <c r="Z444" s="1"/>
      <c r="AB444" s="1"/>
      <c r="AF444" s="1"/>
      <c r="AJ444" s="1"/>
      <c r="AL444" s="1"/>
    </row>
    <row r="445" spans="1:38" ht="13.8" x14ac:dyDescent="0.25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1"/>
      <c r="M445" s="11"/>
      <c r="N445" s="12"/>
      <c r="O445" s="12"/>
      <c r="P445" s="10"/>
      <c r="Q445" s="10"/>
      <c r="R445" s="10"/>
      <c r="S445" s="13">
        <f>SUM(Table32[[#This Row],[Female ( age less than 17)]:[Male ( More than 18)2]])</f>
        <v>0</v>
      </c>
      <c r="T445" s="10"/>
      <c r="U445" s="10"/>
      <c r="V445" s="10"/>
      <c r="W445" s="10"/>
      <c r="X445" s="10"/>
      <c r="Z445" s="1"/>
      <c r="AB445" s="1"/>
      <c r="AF445" s="1"/>
      <c r="AJ445" s="1"/>
      <c r="AL445" s="1"/>
    </row>
    <row r="446" spans="1:38" ht="13.8" x14ac:dyDescent="0.25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1"/>
      <c r="M446" s="11"/>
      <c r="N446" s="12"/>
      <c r="O446" s="12"/>
      <c r="P446" s="10"/>
      <c r="Q446" s="10"/>
      <c r="R446" s="10"/>
      <c r="S446" s="13">
        <f>SUM(Table32[[#This Row],[Female ( age less than 17)]:[Male ( More than 18)2]])</f>
        <v>0</v>
      </c>
      <c r="T446" s="10"/>
      <c r="U446" s="10"/>
      <c r="V446" s="10"/>
      <c r="W446" s="10"/>
      <c r="X446" s="10"/>
      <c r="Z446" s="1"/>
      <c r="AB446" s="1"/>
      <c r="AF446" s="1"/>
      <c r="AJ446" s="1"/>
      <c r="AL446" s="1"/>
    </row>
    <row r="447" spans="1:38" ht="13.8" x14ac:dyDescent="0.25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1"/>
      <c r="M447" s="11"/>
      <c r="N447" s="12"/>
      <c r="O447" s="12"/>
      <c r="P447" s="10"/>
      <c r="Q447" s="10"/>
      <c r="R447" s="10"/>
      <c r="S447" s="13">
        <f>SUM(Table32[[#This Row],[Female ( age less than 17)]:[Male ( More than 18)2]])</f>
        <v>0</v>
      </c>
      <c r="T447" s="10"/>
      <c r="U447" s="10"/>
      <c r="V447" s="10"/>
      <c r="W447" s="10"/>
      <c r="X447" s="10"/>
      <c r="Z447" s="1"/>
      <c r="AB447" s="1"/>
      <c r="AF447" s="1"/>
      <c r="AJ447" s="1"/>
      <c r="AL447" s="1"/>
    </row>
    <row r="448" spans="1:38" ht="13.8" x14ac:dyDescent="0.25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1"/>
      <c r="M448" s="11"/>
      <c r="N448" s="12"/>
      <c r="O448" s="12"/>
      <c r="P448" s="10"/>
      <c r="Q448" s="10"/>
      <c r="R448" s="10"/>
      <c r="S448" s="13">
        <f>SUM(Table32[[#This Row],[Female ( age less than 17)]:[Male ( More than 18)2]])</f>
        <v>0</v>
      </c>
      <c r="T448" s="10"/>
      <c r="U448" s="10"/>
      <c r="V448" s="10"/>
      <c r="W448" s="10"/>
      <c r="X448" s="10"/>
      <c r="Z448" s="1"/>
      <c r="AB448" s="1"/>
      <c r="AF448" s="1"/>
      <c r="AJ448" s="1"/>
      <c r="AL448" s="1"/>
    </row>
    <row r="449" spans="1:38" ht="13.8" x14ac:dyDescent="0.25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1"/>
      <c r="M449" s="11"/>
      <c r="N449" s="12"/>
      <c r="O449" s="12"/>
      <c r="P449" s="10"/>
      <c r="Q449" s="10"/>
      <c r="R449" s="10"/>
      <c r="S449" s="13">
        <f>SUM(Table32[[#This Row],[Female ( age less than 17)]:[Male ( More than 18)2]])</f>
        <v>0</v>
      </c>
      <c r="T449" s="10"/>
      <c r="U449" s="10"/>
      <c r="V449" s="10"/>
      <c r="W449" s="10"/>
      <c r="X449" s="10"/>
      <c r="Z449" s="1"/>
      <c r="AB449" s="1"/>
      <c r="AF449" s="1"/>
      <c r="AJ449" s="1"/>
      <c r="AL449" s="1"/>
    </row>
    <row r="450" spans="1:38" ht="13.8" x14ac:dyDescent="0.25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1"/>
      <c r="M450" s="11"/>
      <c r="N450" s="12"/>
      <c r="O450" s="12"/>
      <c r="P450" s="10"/>
      <c r="Q450" s="10"/>
      <c r="R450" s="10"/>
      <c r="S450" s="13">
        <f>SUM(Table32[[#This Row],[Female ( age less than 17)]:[Male ( More than 18)2]])</f>
        <v>0</v>
      </c>
      <c r="T450" s="10"/>
      <c r="U450" s="10"/>
      <c r="V450" s="10"/>
      <c r="W450" s="10"/>
      <c r="X450" s="10"/>
      <c r="Z450" s="1"/>
      <c r="AB450" s="1"/>
      <c r="AF450" s="1"/>
      <c r="AJ450" s="1"/>
      <c r="AL450" s="1"/>
    </row>
    <row r="451" spans="1:38" ht="13.8" x14ac:dyDescent="0.25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1"/>
      <c r="M451" s="11"/>
      <c r="N451" s="12"/>
      <c r="O451" s="12"/>
      <c r="P451" s="10"/>
      <c r="Q451" s="10"/>
      <c r="R451" s="10"/>
      <c r="S451" s="13">
        <f>SUM(Table32[[#This Row],[Female ( age less than 17)]:[Male ( More than 18)2]])</f>
        <v>0</v>
      </c>
      <c r="T451" s="10"/>
      <c r="U451" s="10"/>
      <c r="V451" s="10"/>
      <c r="W451" s="10"/>
      <c r="X451" s="10"/>
      <c r="Z451" s="1"/>
      <c r="AB451" s="1"/>
      <c r="AF451" s="1"/>
      <c r="AJ451" s="1"/>
      <c r="AL451" s="1"/>
    </row>
    <row r="452" spans="1:38" ht="13.8" x14ac:dyDescent="0.25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1"/>
      <c r="M452" s="11"/>
      <c r="N452" s="12"/>
      <c r="O452" s="12"/>
      <c r="P452" s="10"/>
      <c r="Q452" s="10"/>
      <c r="R452" s="10"/>
      <c r="S452" s="13">
        <f>SUM(Table32[[#This Row],[Female ( age less than 17)]:[Male ( More than 18)2]])</f>
        <v>0</v>
      </c>
      <c r="T452" s="10"/>
      <c r="U452" s="10"/>
      <c r="V452" s="10"/>
      <c r="W452" s="10"/>
      <c r="X452" s="10"/>
      <c r="Z452" s="1"/>
      <c r="AB452" s="1"/>
      <c r="AF452" s="1"/>
      <c r="AJ452" s="1"/>
      <c r="AL452" s="1"/>
    </row>
    <row r="453" spans="1:38" ht="13.8" x14ac:dyDescent="0.25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1"/>
      <c r="M453" s="11"/>
      <c r="N453" s="12"/>
      <c r="O453" s="12"/>
      <c r="P453" s="10"/>
      <c r="Q453" s="10"/>
      <c r="R453" s="10"/>
      <c r="S453" s="13">
        <f>SUM(Table32[[#This Row],[Female ( age less than 17)]:[Male ( More than 18)2]])</f>
        <v>0</v>
      </c>
      <c r="T453" s="10"/>
      <c r="U453" s="10"/>
      <c r="V453" s="10"/>
      <c r="W453" s="10"/>
      <c r="X453" s="10"/>
      <c r="Z453" s="1"/>
      <c r="AB453" s="1"/>
      <c r="AF453" s="1"/>
      <c r="AJ453" s="1"/>
      <c r="AL453" s="1"/>
    </row>
    <row r="454" spans="1:38" ht="13.8" x14ac:dyDescent="0.25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1"/>
      <c r="M454" s="11"/>
      <c r="N454" s="12"/>
      <c r="O454" s="12"/>
      <c r="P454" s="10"/>
      <c r="Q454" s="10"/>
      <c r="R454" s="10"/>
      <c r="S454" s="13">
        <f>SUM(Table32[[#This Row],[Female ( age less than 17)]:[Male ( More than 18)2]])</f>
        <v>0</v>
      </c>
      <c r="T454" s="10"/>
      <c r="U454" s="10"/>
      <c r="V454" s="10"/>
      <c r="W454" s="10"/>
      <c r="X454" s="10"/>
      <c r="Z454" s="1"/>
      <c r="AB454" s="1"/>
      <c r="AF454" s="1"/>
      <c r="AJ454" s="1"/>
      <c r="AL454" s="1"/>
    </row>
    <row r="455" spans="1:38" ht="13.8" x14ac:dyDescent="0.25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1"/>
      <c r="M455" s="11"/>
      <c r="N455" s="12"/>
      <c r="O455" s="12"/>
      <c r="P455" s="10"/>
      <c r="Q455" s="10"/>
      <c r="R455" s="10"/>
      <c r="S455" s="13">
        <f>SUM(Table32[[#This Row],[Female ( age less than 17)]:[Male ( More than 18)2]])</f>
        <v>0</v>
      </c>
      <c r="T455" s="10"/>
      <c r="U455" s="10"/>
      <c r="V455" s="10"/>
      <c r="W455" s="10"/>
      <c r="X455" s="10"/>
      <c r="Z455" s="1"/>
      <c r="AB455" s="1"/>
      <c r="AF455" s="1"/>
      <c r="AJ455" s="1"/>
      <c r="AL455" s="1"/>
    </row>
    <row r="456" spans="1:38" ht="13.8" x14ac:dyDescent="0.25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1"/>
      <c r="M456" s="11"/>
      <c r="N456" s="12"/>
      <c r="O456" s="12"/>
      <c r="P456" s="10"/>
      <c r="Q456" s="10"/>
      <c r="R456" s="10"/>
      <c r="S456" s="13">
        <f>SUM(Table32[[#This Row],[Female ( age less than 17)]:[Male ( More than 18)2]])</f>
        <v>0</v>
      </c>
      <c r="T456" s="10"/>
      <c r="U456" s="10"/>
      <c r="V456" s="10"/>
      <c r="W456" s="10"/>
      <c r="X456" s="10"/>
      <c r="Z456" s="1"/>
      <c r="AB456" s="1"/>
      <c r="AF456" s="1"/>
      <c r="AJ456" s="1"/>
      <c r="AL456" s="1"/>
    </row>
    <row r="457" spans="1:38" ht="13.8" x14ac:dyDescent="0.25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1"/>
      <c r="M457" s="11"/>
      <c r="N457" s="12"/>
      <c r="O457" s="12"/>
      <c r="P457" s="10"/>
      <c r="Q457" s="10"/>
      <c r="R457" s="10"/>
      <c r="S457" s="13">
        <f>SUM(Table32[[#This Row],[Female ( age less than 17)]:[Male ( More than 18)2]])</f>
        <v>0</v>
      </c>
      <c r="T457" s="10"/>
      <c r="U457" s="10"/>
      <c r="V457" s="10"/>
      <c r="W457" s="10"/>
      <c r="X457" s="10"/>
      <c r="Z457" s="1"/>
      <c r="AB457" s="1"/>
      <c r="AF457" s="1"/>
      <c r="AJ457" s="1"/>
      <c r="AL457" s="1"/>
    </row>
    <row r="458" spans="1:38" ht="13.8" x14ac:dyDescent="0.25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1"/>
      <c r="M458" s="11"/>
      <c r="N458" s="12"/>
      <c r="O458" s="12"/>
      <c r="P458" s="10"/>
      <c r="Q458" s="10"/>
      <c r="R458" s="10"/>
      <c r="S458" s="13">
        <f>SUM(Table32[[#This Row],[Female ( age less than 17)]:[Male ( More than 18)2]])</f>
        <v>0</v>
      </c>
      <c r="T458" s="10"/>
      <c r="U458" s="10"/>
      <c r="V458" s="10"/>
      <c r="W458" s="10"/>
      <c r="X458" s="10"/>
      <c r="Z458" s="1"/>
      <c r="AB458" s="1"/>
      <c r="AF458" s="1"/>
      <c r="AJ458" s="1"/>
      <c r="AL458" s="1"/>
    </row>
    <row r="459" spans="1:38" ht="13.8" x14ac:dyDescent="0.25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1"/>
      <c r="M459" s="11"/>
      <c r="N459" s="12"/>
      <c r="O459" s="12"/>
      <c r="P459" s="10"/>
      <c r="Q459" s="10"/>
      <c r="R459" s="10"/>
      <c r="S459" s="13">
        <f>SUM(Table32[[#This Row],[Female ( age less than 17)]:[Male ( More than 18)2]])</f>
        <v>0</v>
      </c>
      <c r="T459" s="10"/>
      <c r="U459" s="10"/>
      <c r="V459" s="10"/>
      <c r="W459" s="10"/>
      <c r="X459" s="10"/>
      <c r="Z459" s="1"/>
      <c r="AB459" s="1"/>
      <c r="AF459" s="1"/>
      <c r="AJ459" s="1"/>
      <c r="AL459" s="1"/>
    </row>
    <row r="460" spans="1:38" ht="13.8" x14ac:dyDescent="0.25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1"/>
      <c r="M460" s="11"/>
      <c r="N460" s="12"/>
      <c r="O460" s="12"/>
      <c r="P460" s="10"/>
      <c r="Q460" s="10"/>
      <c r="R460" s="10"/>
      <c r="S460" s="13">
        <f>SUM(Table32[[#This Row],[Female ( age less than 17)]:[Male ( More than 18)2]])</f>
        <v>0</v>
      </c>
      <c r="T460" s="10"/>
      <c r="U460" s="10"/>
      <c r="V460" s="10"/>
      <c r="W460" s="10"/>
      <c r="X460" s="10"/>
      <c r="Z460" s="1"/>
      <c r="AB460" s="1"/>
      <c r="AF460" s="1"/>
      <c r="AJ460" s="1"/>
      <c r="AL460" s="1"/>
    </row>
    <row r="461" spans="1:38" ht="13.8" x14ac:dyDescent="0.25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1"/>
      <c r="M461" s="11"/>
      <c r="N461" s="12"/>
      <c r="O461" s="12"/>
      <c r="P461" s="10"/>
      <c r="Q461" s="10"/>
      <c r="R461" s="10"/>
      <c r="S461" s="13">
        <f>SUM(Table32[[#This Row],[Female ( age less than 17)]:[Male ( More than 18)2]])</f>
        <v>0</v>
      </c>
      <c r="T461" s="10"/>
      <c r="U461" s="10"/>
      <c r="V461" s="10"/>
      <c r="W461" s="10"/>
      <c r="X461" s="10"/>
      <c r="Z461" s="1"/>
      <c r="AB461" s="1"/>
      <c r="AF461" s="1"/>
      <c r="AJ461" s="1"/>
      <c r="AL461" s="1"/>
    </row>
    <row r="462" spans="1:38" ht="13.8" x14ac:dyDescent="0.25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1"/>
      <c r="M462" s="11"/>
      <c r="N462" s="12"/>
      <c r="O462" s="12"/>
      <c r="P462" s="10"/>
      <c r="Q462" s="10"/>
      <c r="R462" s="10"/>
      <c r="S462" s="13">
        <f>SUM(Table32[[#This Row],[Female ( age less than 17)]:[Male ( More than 18)2]])</f>
        <v>0</v>
      </c>
      <c r="T462" s="10"/>
      <c r="U462" s="10"/>
      <c r="V462" s="10"/>
      <c r="W462" s="10"/>
      <c r="X462" s="10"/>
      <c r="Z462" s="1"/>
      <c r="AB462" s="1"/>
      <c r="AF462" s="1"/>
      <c r="AJ462" s="1"/>
      <c r="AL462" s="1"/>
    </row>
    <row r="463" spans="1:38" ht="13.8" x14ac:dyDescent="0.25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1"/>
      <c r="M463" s="11"/>
      <c r="N463" s="12"/>
      <c r="O463" s="12"/>
      <c r="P463" s="10"/>
      <c r="Q463" s="10"/>
      <c r="R463" s="10"/>
      <c r="S463" s="13">
        <f>SUM(Table32[[#This Row],[Female ( age less than 17)]:[Male ( More than 18)2]])</f>
        <v>0</v>
      </c>
      <c r="T463" s="10"/>
      <c r="U463" s="10"/>
      <c r="V463" s="10"/>
      <c r="W463" s="10"/>
      <c r="X463" s="10"/>
      <c r="Z463" s="1"/>
      <c r="AB463" s="1"/>
      <c r="AF463" s="1"/>
      <c r="AJ463" s="1"/>
      <c r="AL463" s="1"/>
    </row>
    <row r="464" spans="1:38" ht="13.8" x14ac:dyDescent="0.25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1"/>
      <c r="M464" s="11"/>
      <c r="N464" s="12"/>
      <c r="O464" s="12"/>
      <c r="P464" s="10"/>
      <c r="Q464" s="10"/>
      <c r="R464" s="10"/>
      <c r="S464" s="13">
        <f>SUM(Table32[[#This Row],[Female ( age less than 17)]:[Male ( More than 18)2]])</f>
        <v>0</v>
      </c>
      <c r="T464" s="10"/>
      <c r="U464" s="10"/>
      <c r="V464" s="10"/>
      <c r="W464" s="10"/>
      <c r="X464" s="10"/>
      <c r="Z464" s="1"/>
      <c r="AB464" s="1"/>
      <c r="AF464" s="1"/>
      <c r="AJ464" s="1"/>
      <c r="AL464" s="1"/>
    </row>
    <row r="465" spans="1:38" ht="13.8" x14ac:dyDescent="0.25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1"/>
      <c r="M465" s="11"/>
      <c r="N465" s="12"/>
      <c r="O465" s="12"/>
      <c r="P465" s="10"/>
      <c r="Q465" s="10"/>
      <c r="R465" s="10"/>
      <c r="S465" s="13">
        <f>SUM(Table32[[#This Row],[Female ( age less than 17)]:[Male ( More than 18)2]])</f>
        <v>0</v>
      </c>
      <c r="T465" s="10"/>
      <c r="U465" s="10"/>
      <c r="V465" s="10"/>
      <c r="W465" s="10"/>
      <c r="X465" s="10"/>
      <c r="Z465" s="1"/>
      <c r="AB465" s="1"/>
      <c r="AF465" s="1"/>
      <c r="AJ465" s="1"/>
      <c r="AL465" s="1"/>
    </row>
    <row r="466" spans="1:38" ht="13.8" x14ac:dyDescent="0.25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1"/>
      <c r="M466" s="11"/>
      <c r="N466" s="12"/>
      <c r="O466" s="12"/>
      <c r="P466" s="10"/>
      <c r="Q466" s="10"/>
      <c r="R466" s="10"/>
      <c r="S466" s="13">
        <f>SUM(Table32[[#This Row],[Female ( age less than 17)]:[Male ( More than 18)2]])</f>
        <v>0</v>
      </c>
      <c r="T466" s="10"/>
      <c r="U466" s="10"/>
      <c r="V466" s="10"/>
      <c r="W466" s="10"/>
      <c r="X466" s="10"/>
      <c r="Z466" s="1"/>
      <c r="AB466" s="1"/>
      <c r="AF466" s="1"/>
      <c r="AJ466" s="1"/>
      <c r="AL466" s="1"/>
    </row>
    <row r="467" spans="1:38" ht="13.8" x14ac:dyDescent="0.25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1"/>
      <c r="M467" s="11"/>
      <c r="N467" s="12"/>
      <c r="O467" s="12"/>
      <c r="P467" s="10"/>
      <c r="Q467" s="10"/>
      <c r="R467" s="10"/>
      <c r="S467" s="13">
        <f>SUM(Table32[[#This Row],[Female ( age less than 17)]:[Male ( More than 18)2]])</f>
        <v>0</v>
      </c>
      <c r="T467" s="10"/>
      <c r="U467" s="10"/>
      <c r="V467" s="10"/>
      <c r="W467" s="10"/>
      <c r="X467" s="10"/>
      <c r="Z467" s="1"/>
      <c r="AB467" s="1"/>
      <c r="AF467" s="1"/>
      <c r="AJ467" s="1"/>
      <c r="AL467" s="1"/>
    </row>
    <row r="468" spans="1:38" ht="13.8" x14ac:dyDescent="0.25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1"/>
      <c r="M468" s="11"/>
      <c r="N468" s="12"/>
      <c r="O468" s="12"/>
      <c r="P468" s="10"/>
      <c r="Q468" s="10"/>
      <c r="R468" s="10"/>
      <c r="S468" s="13">
        <f>SUM(Table32[[#This Row],[Female ( age less than 17)]:[Male ( More than 18)2]])</f>
        <v>0</v>
      </c>
      <c r="T468" s="10"/>
      <c r="U468" s="10"/>
      <c r="V468" s="10"/>
      <c r="W468" s="10"/>
      <c r="X468" s="10"/>
      <c r="Z468" s="1"/>
      <c r="AB468" s="1"/>
      <c r="AF468" s="1"/>
      <c r="AJ468" s="1"/>
      <c r="AL468" s="1"/>
    </row>
    <row r="469" spans="1:38" ht="13.8" x14ac:dyDescent="0.25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1"/>
      <c r="M469" s="11"/>
      <c r="N469" s="12"/>
      <c r="O469" s="12"/>
      <c r="P469" s="10"/>
      <c r="Q469" s="10"/>
      <c r="R469" s="10"/>
      <c r="S469" s="13">
        <f>SUM(Table32[[#This Row],[Female ( age less than 17)]:[Male ( More than 18)2]])</f>
        <v>0</v>
      </c>
      <c r="T469" s="10"/>
      <c r="U469" s="10"/>
      <c r="V469" s="10"/>
      <c r="W469" s="10"/>
      <c r="X469" s="10"/>
      <c r="Z469" s="1"/>
      <c r="AB469" s="1"/>
      <c r="AF469" s="1"/>
      <c r="AJ469" s="1"/>
      <c r="AL469" s="1"/>
    </row>
    <row r="470" spans="1:38" ht="13.8" x14ac:dyDescent="0.25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1"/>
      <c r="M470" s="11"/>
      <c r="N470" s="14"/>
      <c r="O470" s="15"/>
      <c r="P470" s="10"/>
      <c r="Q470" s="10"/>
      <c r="R470" s="10"/>
      <c r="S470" s="16">
        <f>SUM(Table32[[#This Row],[Female ( age less than 17)]:[Male ( More than 18)2]])</f>
        <v>0</v>
      </c>
      <c r="T470" s="10"/>
      <c r="U470" s="10"/>
      <c r="V470" s="10"/>
      <c r="W470" s="10"/>
      <c r="X470" s="10"/>
      <c r="Z470" s="1"/>
      <c r="AB470" s="1"/>
      <c r="AF470" s="1"/>
      <c r="AJ470" s="1"/>
      <c r="AL470" s="1"/>
    </row>
    <row r="471" spans="1:38" ht="13.8" x14ac:dyDescent="0.25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1"/>
      <c r="M471" s="11"/>
      <c r="N471" s="14"/>
      <c r="O471" s="15"/>
      <c r="P471" s="10"/>
      <c r="Q471" s="10"/>
      <c r="R471" s="10"/>
      <c r="S471" s="16">
        <f>SUM(Table32[[#This Row],[Female ( age less than 17)]:[Male ( More than 18)2]])</f>
        <v>0</v>
      </c>
      <c r="T471" s="10"/>
      <c r="U471" s="10"/>
      <c r="V471" s="10"/>
      <c r="W471" s="10"/>
      <c r="X471" s="10"/>
      <c r="Z471" s="1"/>
      <c r="AB471" s="1"/>
      <c r="AF471" s="1"/>
      <c r="AJ471" s="1"/>
      <c r="AL471" s="1"/>
    </row>
    <row r="472" spans="1:38" ht="13.8" x14ac:dyDescent="0.25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1"/>
      <c r="M472" s="11"/>
      <c r="N472" s="14"/>
      <c r="O472" s="15"/>
      <c r="P472" s="10"/>
      <c r="Q472" s="10"/>
      <c r="R472" s="10"/>
      <c r="S472" s="16">
        <f>SUM(Table32[[#This Row],[Female ( age less than 17)]:[Male ( More than 18)2]])</f>
        <v>0</v>
      </c>
      <c r="T472" s="10"/>
      <c r="U472" s="10"/>
      <c r="V472" s="10"/>
      <c r="W472" s="10"/>
      <c r="X472" s="10"/>
      <c r="Z472" s="1"/>
      <c r="AB472" s="1"/>
      <c r="AF472" s="1"/>
      <c r="AJ472" s="1"/>
      <c r="AL472" s="1"/>
    </row>
    <row r="473" spans="1:38" ht="13.8" x14ac:dyDescent="0.25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1"/>
      <c r="M473" s="11"/>
      <c r="N473" s="14"/>
      <c r="O473" s="15"/>
      <c r="P473" s="10"/>
      <c r="Q473" s="10"/>
      <c r="R473" s="10"/>
      <c r="S473" s="16">
        <f>SUM(Table32[[#This Row],[Female ( age less than 17)]:[Male ( More than 18)2]])</f>
        <v>0</v>
      </c>
      <c r="T473" s="10"/>
      <c r="U473" s="10"/>
      <c r="V473" s="10"/>
      <c r="W473" s="10"/>
      <c r="X473" s="10"/>
      <c r="Z473" s="1"/>
      <c r="AB473" s="1"/>
      <c r="AF473" s="1"/>
      <c r="AJ473" s="1"/>
      <c r="AL473" s="1"/>
    </row>
    <row r="474" spans="1:38" ht="13.8" x14ac:dyDescent="0.25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1"/>
      <c r="M474" s="11"/>
      <c r="N474" s="14"/>
      <c r="O474" s="15"/>
      <c r="P474" s="10"/>
      <c r="Q474" s="10"/>
      <c r="R474" s="10"/>
      <c r="S474" s="16">
        <f>SUM(Table32[[#This Row],[Female ( age less than 17)]:[Male ( More than 18)2]])</f>
        <v>0</v>
      </c>
      <c r="T474" s="10"/>
      <c r="U474" s="10"/>
      <c r="V474" s="10"/>
      <c r="W474" s="10"/>
      <c r="X474" s="10"/>
      <c r="Z474" s="1"/>
      <c r="AB474" s="1"/>
      <c r="AF474" s="1"/>
      <c r="AJ474" s="1"/>
      <c r="AL474" s="1"/>
    </row>
    <row r="475" spans="1:38" ht="13.8" x14ac:dyDescent="0.25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1"/>
      <c r="M475" s="11"/>
      <c r="N475" s="14"/>
      <c r="O475" s="15"/>
      <c r="P475" s="10"/>
      <c r="Q475" s="10"/>
      <c r="R475" s="10"/>
      <c r="S475" s="16">
        <f>SUM(Table32[[#This Row],[Female ( age less than 17)]:[Male ( More than 18)2]])</f>
        <v>0</v>
      </c>
      <c r="T475" s="10"/>
      <c r="U475" s="10"/>
      <c r="V475" s="10"/>
      <c r="W475" s="10"/>
      <c r="X475" s="10"/>
      <c r="Z475" s="1"/>
      <c r="AB475" s="1"/>
      <c r="AF475" s="1"/>
      <c r="AJ475" s="1"/>
      <c r="AL475" s="1"/>
    </row>
    <row r="476" spans="1:38" ht="13.8" x14ac:dyDescent="0.25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1"/>
      <c r="M476" s="11"/>
      <c r="N476" s="14"/>
      <c r="O476" s="15"/>
      <c r="P476" s="10"/>
      <c r="Q476" s="10"/>
      <c r="R476" s="10"/>
      <c r="S476" s="16">
        <f>SUM(Table32[[#This Row],[Female ( age less than 17)]:[Male ( More than 18)2]])</f>
        <v>0</v>
      </c>
      <c r="T476" s="10"/>
      <c r="U476" s="10"/>
      <c r="V476" s="10"/>
      <c r="W476" s="10"/>
      <c r="X476" s="10"/>
      <c r="Z476" s="1"/>
      <c r="AB476" s="1"/>
      <c r="AF476" s="1"/>
      <c r="AJ476" s="1"/>
      <c r="AL476" s="1"/>
    </row>
    <row r="477" spans="1:38" ht="13.8" x14ac:dyDescent="0.25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1"/>
      <c r="M477" s="11"/>
      <c r="N477" s="14"/>
      <c r="O477" s="15"/>
      <c r="P477" s="10"/>
      <c r="Q477" s="10"/>
      <c r="R477" s="10"/>
      <c r="S477" s="16">
        <f>SUM(Table32[[#This Row],[Female ( age less than 17)]:[Male ( More than 18)2]])</f>
        <v>0</v>
      </c>
      <c r="T477" s="10"/>
      <c r="U477" s="10"/>
      <c r="V477" s="10"/>
      <c r="W477" s="10"/>
      <c r="X477" s="10"/>
      <c r="Z477" s="1"/>
      <c r="AB477" s="1"/>
      <c r="AF477" s="1"/>
      <c r="AJ477" s="1"/>
      <c r="AL477" s="1"/>
    </row>
    <row r="478" spans="1:38" ht="13.8" x14ac:dyDescent="0.25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1"/>
      <c r="M478" s="11"/>
      <c r="N478" s="14"/>
      <c r="O478" s="15"/>
      <c r="P478" s="10"/>
      <c r="Q478" s="10"/>
      <c r="R478" s="10"/>
      <c r="S478" s="16">
        <f>SUM(Table32[[#This Row],[Female ( age less than 17)]:[Male ( More than 18)2]])</f>
        <v>0</v>
      </c>
      <c r="T478" s="10"/>
      <c r="U478" s="10"/>
      <c r="V478" s="10"/>
      <c r="W478" s="10"/>
      <c r="X478" s="10"/>
      <c r="Z478" s="1"/>
      <c r="AB478" s="1"/>
      <c r="AF478" s="1"/>
      <c r="AJ478" s="1"/>
      <c r="AL478" s="1"/>
    </row>
    <row r="479" spans="1:38" ht="13.8" x14ac:dyDescent="0.25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1"/>
      <c r="M479" s="11"/>
      <c r="N479" s="14"/>
      <c r="O479" s="15"/>
      <c r="P479" s="10"/>
      <c r="Q479" s="10"/>
      <c r="R479" s="10"/>
      <c r="S479" s="16">
        <f>SUM(Table32[[#This Row],[Female ( age less than 17)]:[Male ( More than 18)2]])</f>
        <v>0</v>
      </c>
      <c r="T479" s="10"/>
      <c r="U479" s="10"/>
      <c r="V479" s="10"/>
      <c r="W479" s="10"/>
      <c r="X479" s="10"/>
      <c r="Z479" s="1"/>
      <c r="AB479" s="1"/>
      <c r="AF479" s="1"/>
      <c r="AJ479" s="1"/>
      <c r="AL479" s="1"/>
    </row>
    <row r="480" spans="1:38" ht="13.8" x14ac:dyDescent="0.25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1"/>
      <c r="M480" s="11"/>
      <c r="N480" s="14"/>
      <c r="O480" s="15"/>
      <c r="P480" s="10"/>
      <c r="Q480" s="10"/>
      <c r="R480" s="10"/>
      <c r="S480" s="16">
        <f>SUM(Table32[[#This Row],[Female ( age less than 17)]:[Male ( More than 18)2]])</f>
        <v>0</v>
      </c>
      <c r="T480" s="10"/>
      <c r="U480" s="10"/>
      <c r="V480" s="10"/>
      <c r="W480" s="10"/>
      <c r="X480" s="10"/>
      <c r="Z480" s="1"/>
      <c r="AB480" s="1"/>
      <c r="AF480" s="1"/>
      <c r="AJ480" s="1"/>
      <c r="AL480" s="1"/>
    </row>
    <row r="481" spans="1:38" ht="13.8" x14ac:dyDescent="0.25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1"/>
      <c r="M481" s="11"/>
      <c r="N481" s="14"/>
      <c r="O481" s="15"/>
      <c r="P481" s="10"/>
      <c r="Q481" s="10"/>
      <c r="R481" s="10"/>
      <c r="S481" s="16">
        <f>SUM(Table32[[#This Row],[Female ( age less than 17)]:[Male ( More than 18)2]])</f>
        <v>0</v>
      </c>
      <c r="T481" s="10"/>
      <c r="U481" s="10"/>
      <c r="V481" s="10"/>
      <c r="W481" s="10"/>
      <c r="X481" s="10"/>
      <c r="Z481" s="1"/>
      <c r="AB481" s="1"/>
      <c r="AF481" s="1"/>
      <c r="AJ481" s="1"/>
      <c r="AL481" s="1"/>
    </row>
    <row r="482" spans="1:38" ht="13.8" x14ac:dyDescent="0.25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1"/>
      <c r="M482" s="11"/>
      <c r="N482" s="14"/>
      <c r="O482" s="15"/>
      <c r="P482" s="10"/>
      <c r="Q482" s="10"/>
      <c r="R482" s="10"/>
      <c r="S482" s="16">
        <f>SUM(Table32[[#This Row],[Female ( age less than 17)]:[Male ( More than 18)2]])</f>
        <v>0</v>
      </c>
      <c r="T482" s="10"/>
      <c r="U482" s="10"/>
      <c r="V482" s="10"/>
      <c r="W482" s="10"/>
      <c r="X482" s="10"/>
      <c r="Z482" s="1"/>
      <c r="AB482" s="1"/>
      <c r="AF482" s="1"/>
      <c r="AJ482" s="1"/>
      <c r="AL482" s="1"/>
    </row>
    <row r="483" spans="1:38" ht="13.8" x14ac:dyDescent="0.25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1"/>
      <c r="M483" s="11"/>
      <c r="N483" s="14"/>
      <c r="O483" s="15"/>
      <c r="P483" s="10"/>
      <c r="Q483" s="10"/>
      <c r="R483" s="10"/>
      <c r="S483" s="16">
        <f>SUM(Table32[[#This Row],[Female ( age less than 17)]:[Male ( More than 18)2]])</f>
        <v>0</v>
      </c>
      <c r="T483" s="10"/>
      <c r="U483" s="10"/>
      <c r="V483" s="10"/>
      <c r="W483" s="10"/>
      <c r="X483" s="10"/>
      <c r="Z483" s="1"/>
      <c r="AB483" s="1"/>
      <c r="AF483" s="1"/>
      <c r="AJ483" s="1"/>
      <c r="AL483" s="1"/>
    </row>
    <row r="484" spans="1:38" ht="13.8" x14ac:dyDescent="0.25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1"/>
      <c r="M484" s="11"/>
      <c r="N484" s="14"/>
      <c r="O484" s="15"/>
      <c r="P484" s="10"/>
      <c r="Q484" s="10"/>
      <c r="R484" s="10"/>
      <c r="S484" s="16">
        <f>SUM(Table32[[#This Row],[Female ( age less than 17)]:[Male ( More than 18)2]])</f>
        <v>0</v>
      </c>
      <c r="T484" s="10"/>
      <c r="U484" s="10"/>
      <c r="V484" s="10"/>
      <c r="W484" s="10"/>
      <c r="X484" s="10"/>
      <c r="Z484" s="1"/>
      <c r="AB484" s="1"/>
      <c r="AF484" s="1"/>
      <c r="AJ484" s="1"/>
      <c r="AL484" s="1"/>
    </row>
    <row r="485" spans="1:38" ht="13.8" x14ac:dyDescent="0.25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1"/>
      <c r="M485" s="11"/>
      <c r="N485" s="14"/>
      <c r="O485" s="15"/>
      <c r="P485" s="10"/>
      <c r="Q485" s="10"/>
      <c r="R485" s="10"/>
      <c r="S485" s="16">
        <f>SUM(Table32[[#This Row],[Female ( age less than 17)]:[Male ( More than 18)2]])</f>
        <v>0</v>
      </c>
      <c r="T485" s="10"/>
      <c r="U485" s="10"/>
      <c r="V485" s="10"/>
      <c r="W485" s="10"/>
      <c r="X485" s="10"/>
      <c r="Z485" s="1"/>
      <c r="AB485" s="1"/>
      <c r="AF485" s="1"/>
      <c r="AJ485" s="1"/>
      <c r="AL485" s="1"/>
    </row>
    <row r="486" spans="1:38" ht="13.8" x14ac:dyDescent="0.25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1"/>
      <c r="M486" s="11"/>
      <c r="N486" s="14"/>
      <c r="O486" s="15"/>
      <c r="P486" s="10"/>
      <c r="Q486" s="10"/>
      <c r="R486" s="10"/>
      <c r="S486" s="16">
        <f>SUM(Table32[[#This Row],[Female ( age less than 17)]:[Male ( More than 18)2]])</f>
        <v>0</v>
      </c>
      <c r="T486" s="10"/>
      <c r="U486" s="10"/>
      <c r="V486" s="10"/>
      <c r="W486" s="10"/>
      <c r="X486" s="10"/>
      <c r="Z486" s="1"/>
      <c r="AB486" s="1"/>
      <c r="AF486" s="1"/>
      <c r="AJ486" s="1"/>
      <c r="AL486" s="1"/>
    </row>
    <row r="487" spans="1:38" ht="13.8" x14ac:dyDescent="0.25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1"/>
      <c r="M487" s="11"/>
      <c r="N487" s="14"/>
      <c r="O487" s="15"/>
      <c r="P487" s="10"/>
      <c r="Q487" s="10"/>
      <c r="R487" s="10"/>
      <c r="S487" s="16">
        <f>SUM(Table32[[#This Row],[Female ( age less than 17)]:[Male ( More than 18)2]])</f>
        <v>0</v>
      </c>
      <c r="T487" s="10"/>
      <c r="U487" s="10"/>
      <c r="V487" s="10"/>
      <c r="W487" s="10"/>
      <c r="X487" s="10"/>
      <c r="Z487" s="1"/>
      <c r="AB487" s="1"/>
      <c r="AF487" s="1"/>
      <c r="AJ487" s="1"/>
      <c r="AL487" s="1"/>
    </row>
    <row r="488" spans="1:38" ht="13.8" x14ac:dyDescent="0.25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1"/>
      <c r="M488" s="11"/>
      <c r="N488" s="14"/>
      <c r="O488" s="15"/>
      <c r="P488" s="10"/>
      <c r="Q488" s="10"/>
      <c r="R488" s="10"/>
      <c r="S488" s="16">
        <f>SUM(Table32[[#This Row],[Female ( age less than 17)]:[Male ( More than 18)2]])</f>
        <v>0</v>
      </c>
      <c r="T488" s="10"/>
      <c r="U488" s="10"/>
      <c r="V488" s="10"/>
      <c r="W488" s="10"/>
      <c r="X488" s="10"/>
      <c r="Z488" s="1"/>
      <c r="AB488" s="1"/>
      <c r="AF488" s="1"/>
      <c r="AJ488" s="1"/>
      <c r="AL488" s="1"/>
    </row>
    <row r="489" spans="1:38" ht="13.8" x14ac:dyDescent="0.25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1"/>
      <c r="M489" s="11"/>
      <c r="N489" s="14"/>
      <c r="O489" s="15"/>
      <c r="P489" s="10"/>
      <c r="Q489" s="10"/>
      <c r="R489" s="10"/>
      <c r="S489" s="16">
        <f>SUM(Table32[[#This Row],[Female ( age less than 17)]:[Male ( More than 18)2]])</f>
        <v>0</v>
      </c>
      <c r="T489" s="10"/>
      <c r="U489" s="10"/>
      <c r="V489" s="10"/>
      <c r="W489" s="10"/>
      <c r="X489" s="10"/>
      <c r="Z489" s="1"/>
      <c r="AB489" s="1"/>
      <c r="AF489" s="1"/>
      <c r="AJ489" s="1"/>
      <c r="AL489" s="1"/>
    </row>
    <row r="490" spans="1:38" ht="13.8" x14ac:dyDescent="0.25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1"/>
      <c r="M490" s="11"/>
      <c r="N490" s="14"/>
      <c r="O490" s="15"/>
      <c r="P490" s="10"/>
      <c r="Q490" s="10"/>
      <c r="R490" s="10"/>
      <c r="S490" s="16">
        <f>SUM(Table32[[#This Row],[Female ( age less than 17)]:[Male ( More than 18)2]])</f>
        <v>0</v>
      </c>
      <c r="T490" s="10"/>
      <c r="U490" s="10"/>
      <c r="V490" s="10"/>
      <c r="W490" s="10"/>
      <c r="X490" s="10"/>
      <c r="Z490" s="1"/>
      <c r="AB490" s="1"/>
      <c r="AF490" s="1"/>
      <c r="AJ490" s="1"/>
      <c r="AL490" s="1"/>
    </row>
    <row r="491" spans="1:38" ht="13.8" x14ac:dyDescent="0.25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1"/>
      <c r="M491" s="11"/>
      <c r="N491" s="14"/>
      <c r="O491" s="15"/>
      <c r="P491" s="10"/>
      <c r="Q491" s="10"/>
      <c r="R491" s="10"/>
      <c r="S491" s="16">
        <f>SUM(Table32[[#This Row],[Female ( age less than 17)]:[Male ( More than 18)2]])</f>
        <v>0</v>
      </c>
      <c r="T491" s="10"/>
      <c r="U491" s="10"/>
      <c r="V491" s="10"/>
      <c r="W491" s="10"/>
      <c r="X491" s="10"/>
      <c r="Z491" s="1"/>
      <c r="AB491" s="1"/>
      <c r="AF491" s="1"/>
      <c r="AJ491" s="1"/>
      <c r="AL491" s="1"/>
    </row>
    <row r="492" spans="1:38" ht="13.8" x14ac:dyDescent="0.25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1"/>
      <c r="M492" s="11"/>
      <c r="N492" s="14"/>
      <c r="O492" s="15"/>
      <c r="P492" s="10"/>
      <c r="Q492" s="10"/>
      <c r="R492" s="10"/>
      <c r="S492" s="16">
        <f>SUM(Table32[[#This Row],[Female ( age less than 17)]:[Male ( More than 18)2]])</f>
        <v>0</v>
      </c>
      <c r="T492" s="10"/>
      <c r="U492" s="10"/>
      <c r="V492" s="10"/>
      <c r="W492" s="10"/>
      <c r="X492" s="10"/>
      <c r="Z492" s="1"/>
      <c r="AB492" s="1"/>
      <c r="AF492" s="1"/>
      <c r="AJ492" s="1"/>
      <c r="AL492" s="1"/>
    </row>
    <row r="493" spans="1:38" ht="13.8" x14ac:dyDescent="0.25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1"/>
      <c r="M493" s="11"/>
      <c r="N493" s="14"/>
      <c r="O493" s="15"/>
      <c r="P493" s="10"/>
      <c r="Q493" s="10"/>
      <c r="R493" s="10"/>
      <c r="S493" s="16">
        <f>SUM(Table32[[#This Row],[Female ( age less than 17)]:[Male ( More than 18)2]])</f>
        <v>0</v>
      </c>
      <c r="T493" s="10"/>
      <c r="U493" s="10"/>
      <c r="V493" s="10"/>
      <c r="W493" s="10"/>
      <c r="X493" s="10"/>
      <c r="Z493" s="1"/>
      <c r="AB493" s="1"/>
      <c r="AF493" s="1"/>
      <c r="AJ493" s="1"/>
      <c r="AL493" s="1"/>
    </row>
    <row r="494" spans="1:38" ht="13.8" x14ac:dyDescent="0.25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1"/>
      <c r="M494" s="11"/>
      <c r="N494" s="14"/>
      <c r="O494" s="15"/>
      <c r="P494" s="10"/>
      <c r="Q494" s="10"/>
      <c r="R494" s="10"/>
      <c r="S494" s="16">
        <f>SUM(Table32[[#This Row],[Female ( age less than 17)]:[Male ( More than 18)2]])</f>
        <v>0</v>
      </c>
      <c r="T494" s="10"/>
      <c r="U494" s="10"/>
      <c r="V494" s="10"/>
      <c r="W494" s="10"/>
      <c r="X494" s="10"/>
      <c r="Z494" s="1"/>
      <c r="AB494" s="1"/>
      <c r="AF494" s="1"/>
      <c r="AJ494" s="1"/>
      <c r="AL494" s="1"/>
    </row>
    <row r="495" spans="1:38" ht="13.8" x14ac:dyDescent="0.25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1"/>
      <c r="M495" s="11"/>
      <c r="N495" s="14"/>
      <c r="O495" s="15"/>
      <c r="P495" s="10"/>
      <c r="Q495" s="10"/>
      <c r="R495" s="10"/>
      <c r="S495" s="16">
        <f>SUM(Table32[[#This Row],[Female ( age less than 17)]:[Male ( More than 18)2]])</f>
        <v>0</v>
      </c>
      <c r="T495" s="10"/>
      <c r="U495" s="10"/>
      <c r="V495" s="10"/>
      <c r="W495" s="10"/>
      <c r="X495" s="10"/>
      <c r="Z495" s="1"/>
      <c r="AB495" s="1"/>
      <c r="AF495" s="1"/>
      <c r="AJ495" s="1"/>
      <c r="AL495" s="1"/>
    </row>
    <row r="496" spans="1:38" ht="13.8" x14ac:dyDescent="0.25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1"/>
      <c r="M496" s="11"/>
      <c r="N496" s="14"/>
      <c r="O496" s="15"/>
      <c r="P496" s="10"/>
      <c r="Q496" s="10"/>
      <c r="R496" s="10"/>
      <c r="S496" s="16">
        <f>SUM(Table32[[#This Row],[Female ( age less than 17)]:[Male ( More than 18)2]])</f>
        <v>0</v>
      </c>
      <c r="T496" s="10"/>
      <c r="U496" s="10"/>
      <c r="V496" s="10"/>
      <c r="W496" s="10"/>
      <c r="X496" s="10"/>
      <c r="Z496" s="1"/>
      <c r="AB496" s="1"/>
      <c r="AF496" s="1"/>
      <c r="AJ496" s="1"/>
      <c r="AL496" s="1"/>
    </row>
    <row r="497" spans="1:38" ht="13.8" x14ac:dyDescent="0.25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1"/>
      <c r="M497" s="11"/>
      <c r="N497" s="14"/>
      <c r="O497" s="15"/>
      <c r="P497" s="10"/>
      <c r="Q497" s="10"/>
      <c r="R497" s="10"/>
      <c r="S497" s="16">
        <f>SUM(Table32[[#This Row],[Female ( age less than 17)]:[Male ( More than 18)2]])</f>
        <v>0</v>
      </c>
      <c r="T497" s="10"/>
      <c r="U497" s="10"/>
      <c r="V497" s="10"/>
      <c r="W497" s="10"/>
      <c r="X497" s="10"/>
      <c r="Z497" s="1"/>
      <c r="AB497" s="1"/>
      <c r="AF497" s="1"/>
      <c r="AJ497" s="1"/>
      <c r="AL497" s="1"/>
    </row>
    <row r="498" spans="1:38" ht="13.8" x14ac:dyDescent="0.25">
      <c r="N498" s="4"/>
      <c r="O498" s="5"/>
      <c r="P498" s="2"/>
      <c r="Q498" s="2"/>
      <c r="R498" s="2"/>
      <c r="S498" s="6">
        <f>SUM(Table32[[#This Row],[Female ( age less than 17)]:[Male ( More than 18)2]])</f>
        <v>0</v>
      </c>
      <c r="T498" s="2"/>
      <c r="U498" s="2"/>
      <c r="V498" s="2"/>
      <c r="W498" s="2"/>
      <c r="X498" s="2"/>
      <c r="Z498" s="1"/>
      <c r="AB498" s="1"/>
      <c r="AF498" s="1"/>
      <c r="AJ498" s="1"/>
      <c r="AL498" s="1"/>
    </row>
    <row r="499" spans="1:38" ht="13.8" x14ac:dyDescent="0.25">
      <c r="N499" s="4"/>
      <c r="O499" s="5"/>
      <c r="P499" s="2"/>
      <c r="Q499" s="2"/>
      <c r="R499" s="2"/>
      <c r="S499" s="6">
        <f>SUM(Table32[[#This Row],[Female ( age less than 17)]:[Male ( More than 18)2]])</f>
        <v>0</v>
      </c>
      <c r="T499" s="2"/>
      <c r="U499" s="2"/>
      <c r="V499" s="2"/>
      <c r="W499" s="2"/>
      <c r="X499" s="2"/>
      <c r="Z499" s="1"/>
      <c r="AB499" s="1"/>
      <c r="AF499" s="1"/>
      <c r="AJ499" s="1"/>
      <c r="AL499" s="1"/>
    </row>
    <row r="500" spans="1:38" ht="13.8" x14ac:dyDescent="0.25">
      <c r="N500" s="4"/>
      <c r="O500" s="5"/>
      <c r="P500" s="2"/>
      <c r="Q500" s="2"/>
      <c r="R500" s="2"/>
      <c r="S500" s="6">
        <f>SUM(Table32[[#This Row],[Female ( age less than 17)]:[Male ( More than 18)2]])</f>
        <v>0</v>
      </c>
      <c r="T500" s="2"/>
      <c r="U500" s="2"/>
      <c r="V500" s="2"/>
      <c r="W500" s="2"/>
      <c r="X500" s="2"/>
      <c r="Z500" s="1"/>
      <c r="AB500" s="1"/>
      <c r="AF500" s="1"/>
      <c r="AJ500" s="1"/>
      <c r="AL500" s="1"/>
    </row>
    <row r="501" spans="1:38" ht="13.8" x14ac:dyDescent="0.25">
      <c r="N501" s="4"/>
      <c r="O501" s="5"/>
      <c r="P501" s="2"/>
      <c r="Q501" s="2"/>
      <c r="R501" s="2"/>
      <c r="S501" s="6">
        <f>SUM(Table32[[#This Row],[Female ( age less than 17)]:[Male ( More than 18)2]])</f>
        <v>0</v>
      </c>
      <c r="T501" s="2"/>
      <c r="U501" s="2"/>
      <c r="V501" s="2"/>
      <c r="W501" s="2"/>
      <c r="X501" s="2"/>
      <c r="Z501" s="1"/>
      <c r="AB501" s="1"/>
      <c r="AF501" s="1"/>
      <c r="AJ501" s="1"/>
      <c r="AL501" s="1"/>
    </row>
    <row r="502" spans="1:38" ht="13.8" x14ac:dyDescent="0.25">
      <c r="N502" s="4"/>
      <c r="O502" s="5"/>
      <c r="P502" s="2"/>
      <c r="Q502" s="2"/>
      <c r="R502" s="2"/>
      <c r="S502" s="6">
        <f>SUM(Table32[[#This Row],[Female ( age less than 17)]:[Male ( More than 18)2]])</f>
        <v>0</v>
      </c>
      <c r="T502" s="2"/>
      <c r="U502" s="2"/>
      <c r="V502" s="2"/>
      <c r="W502" s="2"/>
      <c r="X502" s="2"/>
      <c r="Z502" s="1"/>
      <c r="AB502" s="1"/>
      <c r="AF502" s="1"/>
      <c r="AJ502" s="1"/>
      <c r="AL502" s="1"/>
    </row>
    <row r="503" spans="1:38" ht="13.8" x14ac:dyDescent="0.25">
      <c r="N503" s="7">
        <f>SUBTOTAL(103,Table32[Contact Number])</f>
        <v>0</v>
      </c>
      <c r="O503" s="2">
        <f>SUBTOTAL(103,Table32[Current Place of Residence])</f>
        <v>0</v>
      </c>
      <c r="P503" s="2">
        <f>SUBTOTAL(103,Table32[Origin])</f>
        <v>0</v>
      </c>
      <c r="Q503" s="2"/>
      <c r="R503" s="2"/>
      <c r="S503" s="7">
        <f>SUBTOTAL(109,Table32[Family Size (Including Head of HH)])</f>
        <v>0</v>
      </c>
      <c r="T503" s="7">
        <f>SUBTOTAL(109,Table32[Female ( age less than 17)])</f>
        <v>0</v>
      </c>
      <c r="U503" s="7">
        <f>SUBTOTAL(109,Table32[Female (more than 18)])</f>
        <v>0</v>
      </c>
      <c r="V503" s="7">
        <f>SUBTOTAL(109,Table32[Male ( Less than 18)])</f>
        <v>0</v>
      </c>
      <c r="W503" s="7">
        <f>SUBTOTAL(109,Table32[Male ( More than 18)2])</f>
        <v>0</v>
      </c>
      <c r="X503" s="7"/>
      <c r="Z503" s="1"/>
      <c r="AB503" s="1"/>
      <c r="AF503" s="1"/>
      <c r="AJ503" s="1"/>
      <c r="AL503" s="1"/>
    </row>
    <row r="507" spans="1:38" ht="13.8" x14ac:dyDescent="0.25">
      <c r="N507" s="9" t="s">
        <v>5</v>
      </c>
    </row>
    <row r="508" spans="1:38" ht="13.8" x14ac:dyDescent="0.25">
      <c r="N508" s="9"/>
    </row>
    <row r="509" spans="1:38" ht="13.8" x14ac:dyDescent="0.25">
      <c r="N509" s="9"/>
    </row>
  </sheetData>
  <mergeCells count="1">
    <mergeCell ref="A1:X1"/>
  </mergeCells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Verified Database</vt:lpstr>
      <vt:lpstr>Unverified 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Saoud</dc:creator>
  <cp:lastModifiedBy>Madina Mahboobi</cp:lastModifiedBy>
  <cp:lastPrinted>2014-10-27T06:45:51Z</cp:lastPrinted>
  <dcterms:created xsi:type="dcterms:W3CDTF">2014-05-07T18:58:25Z</dcterms:created>
  <dcterms:modified xsi:type="dcterms:W3CDTF">2025-12-27T12:49:34Z</dcterms:modified>
</cp:coreProperties>
</file>